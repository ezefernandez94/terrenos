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rdo\Dropbox\Torres de Bragado\"/>
    </mc:Choice>
  </mc:AlternateContent>
  <xr:revisionPtr revIDLastSave="0" documentId="13_ncr:1_{41D6C5D6-2E92-4C49-B7C0-2C93333D1C2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tes chicos" sheetId="1" r:id="rId1"/>
    <sheet name="Lotes grand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F44" i="1"/>
  <c r="G43" i="1"/>
  <c r="F43" i="1"/>
  <c r="G40" i="1"/>
  <c r="F40" i="1"/>
  <c r="G39" i="1"/>
  <c r="F39" i="1"/>
  <c r="G38" i="1"/>
  <c r="F38" i="1"/>
  <c r="G35" i="1"/>
  <c r="F35" i="1"/>
  <c r="F30" i="1"/>
  <c r="G30" i="1" s="1"/>
  <c r="G29" i="1"/>
  <c r="G25" i="1"/>
  <c r="F26" i="1"/>
  <c r="G21" i="1"/>
  <c r="F24" i="1"/>
  <c r="H30" i="1" l="1"/>
  <c r="H25" i="1"/>
  <c r="E24" i="1"/>
  <c r="E25" i="1" s="1"/>
  <c r="E26" i="1" s="1"/>
  <c r="E29" i="1" s="1"/>
  <c r="E30" i="1" s="1"/>
  <c r="E35" i="1" s="1"/>
  <c r="H21" i="1"/>
  <c r="H24" i="1"/>
  <c r="H39" i="1"/>
  <c r="E39" i="1"/>
  <c r="E40" i="1" s="1"/>
  <c r="E43" i="1" s="1"/>
  <c r="E44" i="1" s="1"/>
  <c r="H43" i="1" l="1"/>
  <c r="G26" i="1"/>
  <c r="H26" i="1" l="1"/>
  <c r="H35" i="1"/>
  <c r="H29" i="1"/>
  <c r="H44" i="1" l="1"/>
  <c r="H40" i="1"/>
  <c r="H38" i="1"/>
  <c r="E8" i="2"/>
  <c r="D20" i="2" l="1"/>
  <c r="C20" i="2"/>
  <c r="E18" i="2"/>
  <c r="E17" i="2"/>
  <c r="E16" i="2"/>
  <c r="E15" i="2"/>
  <c r="E14" i="2"/>
  <c r="E13" i="2"/>
  <c r="E12" i="2"/>
  <c r="E11" i="2"/>
  <c r="E10" i="2"/>
  <c r="E9" i="2"/>
  <c r="E7" i="2"/>
  <c r="E20" i="2" l="1"/>
</calcChain>
</file>

<file path=xl/sharedStrings.xml><?xml version="1.0" encoding="utf-8"?>
<sst xmlns="http://schemas.openxmlformats.org/spreadsheetml/2006/main" count="64" uniqueCount="57">
  <si>
    <t>VIGENCIA A PARTIR DEL</t>
  </si>
  <si>
    <t>M2</t>
  </si>
  <si>
    <t>LISTA</t>
  </si>
  <si>
    <t xml:space="preserve">MANZANA bz </t>
  </si>
  <si>
    <t xml:space="preserve">MANZANA ca </t>
  </si>
  <si>
    <t xml:space="preserve">MANZANA cb </t>
  </si>
  <si>
    <t xml:space="preserve">MANZANA ch </t>
  </si>
  <si>
    <t xml:space="preserve">MANZANA cm </t>
  </si>
  <si>
    <t>VENDIDA</t>
  </si>
  <si>
    <t xml:space="preserve">MANZANA cn </t>
  </si>
  <si>
    <t>MANZANA cr (PLAZA)</t>
  </si>
  <si>
    <t>Lotes 4 y 5</t>
  </si>
  <si>
    <t xml:space="preserve">MANZANA cs </t>
  </si>
  <si>
    <t xml:space="preserve">MANZANA da </t>
  </si>
  <si>
    <t xml:space="preserve">MANZANA db </t>
  </si>
  <si>
    <t xml:space="preserve">MANZANA dc </t>
  </si>
  <si>
    <t>Lote 5</t>
  </si>
  <si>
    <t xml:space="preserve">MANZANA dd </t>
  </si>
  <si>
    <t>Lotes  7 y 8</t>
  </si>
  <si>
    <t xml:space="preserve">MANZANA de </t>
  </si>
  <si>
    <t>LISTA DE PRECIOS LOTEO ELIZONDO (LOTES COMERCIALES)</t>
  </si>
  <si>
    <t>CIFRAS EN DOLARES</t>
  </si>
  <si>
    <t>Medidas</t>
  </si>
  <si>
    <t>Cantidad de lotes</t>
  </si>
  <si>
    <t>En dólares</t>
  </si>
  <si>
    <t>Totales</t>
  </si>
  <si>
    <t>Vendidos</t>
  </si>
  <si>
    <t>Actuales</t>
  </si>
  <si>
    <t>FRACCION II</t>
  </si>
  <si>
    <t>Lotes 1 y 4 - Manzana ce</t>
  </si>
  <si>
    <t>Lote 2a y 2b - Manzana ce</t>
  </si>
  <si>
    <t>Lotes 10 y 6 - Manzana ce</t>
  </si>
  <si>
    <t>Lotes 4, 6 , 8 y 10 - Manzana ct</t>
  </si>
  <si>
    <t>Lotes 10, 11 y 12. Manzana df</t>
  </si>
  <si>
    <t>Lotes 1, 2 y 4 - Manzana df</t>
  </si>
  <si>
    <t>FRACCION III</t>
  </si>
  <si>
    <t>Lotes 1 y 2 - Manzana cf</t>
  </si>
  <si>
    <t>Lotes 6 y 8 - Manzana cf</t>
  </si>
  <si>
    <t>Lotes 1 y 2 - Manzana cw</t>
  </si>
  <si>
    <t>Lotes 23 y 24</t>
  </si>
  <si>
    <t>Lotes 9 a 11</t>
  </si>
  <si>
    <t>Lotes 9 y 10</t>
  </si>
  <si>
    <t>Lote 7</t>
  </si>
  <si>
    <t xml:space="preserve">LISTA DE PRECIOS LOTEO ELIZONDO </t>
  </si>
  <si>
    <t>Lote 10</t>
  </si>
  <si>
    <t xml:space="preserve">Lote 11 </t>
  </si>
  <si>
    <t>Lote 12</t>
  </si>
  <si>
    <t>Lote 2, 5 a 8 , 13 y 15</t>
  </si>
  <si>
    <t>En 24 cuotas</t>
  </si>
  <si>
    <t>En 36 cuotas</t>
  </si>
  <si>
    <t>% al</t>
  </si>
  <si>
    <t>Boleto</t>
  </si>
  <si>
    <t>Dólares</t>
  </si>
  <si>
    <t>Contado</t>
  </si>
  <si>
    <t>Lote  11</t>
  </si>
  <si>
    <t>Lote  8</t>
  </si>
  <si>
    <t>Lotes  3 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</si>
</sst>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\ #,##0;[Red]&quot;$&quot;\ \-#,##0"/>
    <numFmt numFmtId="165" formatCode="_ &quot;$&quot;\ * #,##0.00_ ;_ &quot;$&quot;\ * \-#,##0.00_ ;_ &quot;$&quot;\ * &quot;-&quot;??_ ;_ @_ "/>
    <numFmt numFmtId="166" formatCode="_ &quot;$&quot;\ * #,##0_ ;_ &quot;$&quot;\ * \-#,##0_ ;_ &quot;$&quot;\ * &quot;-&quot;??_ ;_ @_ "/>
    <numFmt numFmtId="167" formatCode="&quot;$&quot;#,##0.00"/>
    <numFmt numFmtId="168" formatCode="_-&quot;$&quot;\ * #,##0_-;\-&quot;$&quot;\ * #,##0_-;_-&quot;$&quot;\ 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4"/>
      <color indexed="8"/>
      <name val="Arial"/>
      <family val="2"/>
    </font>
    <font>
      <b/>
      <u/>
      <sz val="14"/>
      <color indexed="8"/>
      <name val="Arial"/>
      <family val="2"/>
    </font>
    <font>
      <u/>
      <sz val="14"/>
      <color indexed="8"/>
      <name val="Arial"/>
      <family val="2"/>
    </font>
    <font>
      <sz val="14"/>
      <color theme="1"/>
      <name val="Calibri"/>
      <family val="2"/>
      <scheme val="minor"/>
    </font>
    <font>
      <u/>
      <sz val="14"/>
      <color theme="1"/>
      <name val="Arial"/>
      <family val="2"/>
    </font>
    <font>
      <b/>
      <sz val="20"/>
      <color theme="1"/>
      <name val="Arial"/>
      <family val="2"/>
    </font>
    <font>
      <sz val="16"/>
      <color theme="1"/>
      <name val="Arial"/>
      <family val="2"/>
    </font>
    <font>
      <sz val="14"/>
      <color rgb="FFFF0000"/>
      <name val="Arial"/>
      <family val="2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14" fontId="4" fillId="0" borderId="0" xfId="0" applyNumberFormat="1" applyFont="1" applyFill="1" applyBorder="1" applyAlignment="1">
      <alignment horizontal="center"/>
    </xf>
    <xf numFmtId="0" fontId="0" fillId="0" borderId="0" xfId="0" applyFont="1"/>
    <xf numFmtId="0" fontId="7" fillId="0" borderId="0" xfId="0" applyFont="1"/>
    <xf numFmtId="0" fontId="6" fillId="0" borderId="2" xfId="0" applyFont="1" applyBorder="1"/>
    <xf numFmtId="0" fontId="9" fillId="0" borderId="0" xfId="0" applyFont="1"/>
    <xf numFmtId="0" fontId="6" fillId="0" borderId="1" xfId="0" applyFont="1" applyBorder="1"/>
    <xf numFmtId="0" fontId="6" fillId="0" borderId="4" xfId="0" applyFont="1" applyBorder="1"/>
    <xf numFmtId="3" fontId="6" fillId="0" borderId="4" xfId="0" applyNumberFormat="1" applyFont="1" applyBorder="1"/>
    <xf numFmtId="0" fontId="5" fillId="0" borderId="4" xfId="0" applyFont="1" applyBorder="1"/>
    <xf numFmtId="3" fontId="10" fillId="0" borderId="4" xfId="0" applyNumberFormat="1" applyFont="1" applyBorder="1"/>
    <xf numFmtId="0" fontId="5" fillId="0" borderId="2" xfId="0" applyFont="1" applyBorder="1"/>
    <xf numFmtId="0" fontId="6" fillId="0" borderId="3" xfId="0" applyFont="1" applyBorder="1"/>
    <xf numFmtId="0" fontId="5" fillId="0" borderId="3" xfId="0" applyFont="1" applyBorder="1"/>
    <xf numFmtId="0" fontId="11" fillId="0" borderId="0" xfId="0" applyFont="1"/>
    <xf numFmtId="0" fontId="6" fillId="0" borderId="1" xfId="0" applyFont="1" applyFill="1" applyBorder="1"/>
    <xf numFmtId="164" fontId="6" fillId="0" borderId="4" xfId="0" applyNumberFormat="1" applyFont="1" applyFill="1" applyBorder="1"/>
    <xf numFmtId="0" fontId="6" fillId="0" borderId="2" xfId="0" applyFont="1" applyFill="1" applyBorder="1"/>
    <xf numFmtId="0" fontId="12" fillId="0" borderId="0" xfId="0" applyFont="1"/>
    <xf numFmtId="166" fontId="6" fillId="0" borderId="0" xfId="1" applyNumberFormat="1" applyFont="1" applyFill="1"/>
    <xf numFmtId="14" fontId="7" fillId="0" borderId="0" xfId="0" applyNumberFormat="1" applyFont="1" applyFill="1" applyBorder="1" applyAlignment="1">
      <alignment horizontal="center"/>
    </xf>
    <xf numFmtId="0" fontId="13" fillId="0" borderId="0" xfId="0" applyFont="1"/>
    <xf numFmtId="1" fontId="6" fillId="0" borderId="0" xfId="0" applyNumberFormat="1" applyFont="1"/>
    <xf numFmtId="0" fontId="8" fillId="2" borderId="1" xfId="0" applyFont="1" applyFill="1" applyBorder="1" applyAlignment="1">
      <alignment horizontal="center"/>
    </xf>
    <xf numFmtId="166" fontId="8" fillId="2" borderId="1" xfId="1" applyNumberFormat="1" applyFont="1" applyFill="1" applyBorder="1" applyAlignment="1">
      <alignment horizontal="center"/>
    </xf>
    <xf numFmtId="0" fontId="6" fillId="2" borderId="2" xfId="0" applyFont="1" applyFill="1" applyBorder="1"/>
    <xf numFmtId="0" fontId="5" fillId="2" borderId="3" xfId="0" applyFont="1" applyFill="1" applyBorder="1" applyAlignment="1">
      <alignment horizontal="center"/>
    </xf>
    <xf numFmtId="167" fontId="5" fillId="2" borderId="2" xfId="0" applyNumberFormat="1" applyFont="1" applyFill="1" applyBorder="1" applyAlignment="1">
      <alignment horizontal="center"/>
    </xf>
    <xf numFmtId="0" fontId="14" fillId="0" borderId="0" xfId="0" applyFont="1"/>
    <xf numFmtId="9" fontId="6" fillId="0" borderId="0" xfId="2" applyFont="1"/>
    <xf numFmtId="2" fontId="6" fillId="0" borderId="0" xfId="0" applyNumberFormat="1" applyFont="1"/>
    <xf numFmtId="164" fontId="15" fillId="0" borderId="4" xfId="0" applyNumberFormat="1" applyFont="1" applyFill="1" applyBorder="1"/>
    <xf numFmtId="164" fontId="16" fillId="0" borderId="4" xfId="0" applyNumberFormat="1" applyFont="1" applyFill="1" applyBorder="1"/>
    <xf numFmtId="168" fontId="6" fillId="0" borderId="4" xfId="1" applyNumberFormat="1" applyFont="1" applyBorder="1"/>
    <xf numFmtId="0" fontId="5" fillId="3" borderId="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3" borderId="5" xfId="0" applyFill="1" applyBorder="1"/>
    <xf numFmtId="0" fontId="0" fillId="3" borderId="4" xfId="0" applyFill="1" applyBorder="1"/>
    <xf numFmtId="0" fontId="6" fillId="3" borderId="4" xfId="0" applyFont="1" applyFill="1" applyBorder="1" applyAlignment="1">
      <alignment horizontal="center"/>
    </xf>
    <xf numFmtId="0" fontId="6" fillId="3" borderId="1" xfId="0" applyFont="1" applyFill="1" applyBorder="1"/>
    <xf numFmtId="0" fontId="0" fillId="0" borderId="1" xfId="0" applyFill="1" applyBorder="1"/>
    <xf numFmtId="0" fontId="12" fillId="0" borderId="4" xfId="0" applyFont="1" applyBorder="1"/>
    <xf numFmtId="0" fontId="11" fillId="0" borderId="4" xfId="0" applyFont="1" applyBorder="1"/>
    <xf numFmtId="166" fontId="6" fillId="0" borderId="4" xfId="1" applyNumberFormat="1" applyFont="1" applyFill="1" applyBorder="1"/>
    <xf numFmtId="0" fontId="0" fillId="0" borderId="4" xfId="0" applyBorder="1"/>
    <xf numFmtId="9" fontId="6" fillId="0" borderId="4" xfId="2" applyFont="1" applyBorder="1"/>
    <xf numFmtId="9" fontId="6" fillId="0" borderId="4" xfId="2" applyFont="1" applyFill="1" applyBorder="1"/>
    <xf numFmtId="166" fontId="6" fillId="0" borderId="4" xfId="2" applyNumberFormat="1" applyFont="1" applyBorder="1"/>
    <xf numFmtId="166" fontId="6" fillId="0" borderId="2" xfId="1" applyNumberFormat="1" applyFont="1" applyFill="1" applyBorder="1"/>
    <xf numFmtId="166" fontId="6" fillId="0" borderId="2" xfId="2" applyNumberFormat="1" applyFont="1" applyBorder="1"/>
    <xf numFmtId="9" fontId="6" fillId="0" borderId="2" xfId="2" applyFont="1" applyFill="1" applyBorder="1"/>
    <xf numFmtId="0" fontId="6" fillId="3" borderId="6" xfId="0" applyFont="1" applyFill="1" applyBorder="1" applyAlignment="1">
      <alignment horizontal="center"/>
    </xf>
    <xf numFmtId="166" fontId="6" fillId="0" borderId="4" xfId="2" applyNumberFormat="1" applyFont="1" applyFill="1" applyBorder="1"/>
    <xf numFmtId="166" fontId="6" fillId="0" borderId="2" xfId="2" applyNumberFormat="1" applyFont="1" applyFill="1" applyBorder="1"/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32D63A"/>
      <color rgb="FFFF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sqref="A1:H44"/>
    </sheetView>
  </sheetViews>
  <sheetFormatPr baseColWidth="10" defaultColWidth="11.42578125" defaultRowHeight="15" x14ac:dyDescent="0.25"/>
  <cols>
    <col min="1" max="1" width="45.7109375" customWidth="1"/>
    <col min="2" max="2" width="16.85546875" customWidth="1"/>
    <col min="3" max="3" width="16.85546875" hidden="1" customWidth="1"/>
    <col min="4" max="4" width="5.7109375" hidden="1" customWidth="1"/>
    <col min="5" max="5" width="12.85546875" customWidth="1"/>
    <col min="6" max="6" width="15" customWidth="1"/>
    <col min="7" max="8" width="18.28515625" customWidth="1"/>
    <col min="9" max="9" width="5.85546875" customWidth="1"/>
    <col min="10" max="10" width="19" customWidth="1"/>
    <col min="11" max="11" width="18.28515625" customWidth="1"/>
  </cols>
  <sheetData>
    <row r="1" spans="1:11" ht="26.25" x14ac:dyDescent="0.4">
      <c r="A1" s="24" t="s">
        <v>43</v>
      </c>
      <c r="B1" s="6"/>
      <c r="C1" s="5"/>
      <c r="D1" s="5"/>
      <c r="E1" s="5"/>
      <c r="F1" s="5"/>
    </row>
    <row r="2" spans="1:11" ht="20.25" x14ac:dyDescent="0.3">
      <c r="A2" s="31" t="s">
        <v>0</v>
      </c>
      <c r="B2" s="23">
        <v>46039</v>
      </c>
    </row>
    <row r="3" spans="1:11" ht="18.75" thickBot="1" x14ac:dyDescent="0.3">
      <c r="A3" s="1"/>
      <c r="B3" s="1"/>
      <c r="C3" s="4"/>
      <c r="D3" s="4"/>
      <c r="E3" s="4"/>
      <c r="F3" s="4"/>
    </row>
    <row r="4" spans="1:11" ht="18.75" thickBot="1" x14ac:dyDescent="0.3">
      <c r="A4" s="2"/>
      <c r="B4" s="38" t="s">
        <v>1</v>
      </c>
      <c r="C4" s="38" t="s">
        <v>2</v>
      </c>
      <c r="D4" s="37"/>
      <c r="E4" s="38" t="s">
        <v>50</v>
      </c>
      <c r="F4" s="54" t="s">
        <v>53</v>
      </c>
      <c r="G4" s="57" t="s">
        <v>52</v>
      </c>
      <c r="H4" s="58"/>
      <c r="I4" s="3"/>
      <c r="J4" s="3"/>
    </row>
    <row r="5" spans="1:11" ht="18.75" thickBot="1" x14ac:dyDescent="0.3">
      <c r="A5" s="2"/>
      <c r="B5" s="40"/>
      <c r="C5" s="40"/>
      <c r="D5" s="39"/>
      <c r="E5" s="41" t="s">
        <v>51</v>
      </c>
      <c r="F5" s="41"/>
      <c r="G5" s="42" t="s">
        <v>48</v>
      </c>
      <c r="H5" s="42" t="s">
        <v>49</v>
      </c>
      <c r="I5" s="3"/>
      <c r="J5" s="3"/>
    </row>
    <row r="6" spans="1:11" ht="18" x14ac:dyDescent="0.25">
      <c r="A6" s="2"/>
      <c r="B6" s="43"/>
      <c r="C6" s="43"/>
      <c r="D6" s="43"/>
      <c r="E6" s="43"/>
      <c r="F6" s="43"/>
      <c r="G6" s="9"/>
      <c r="H6" s="9"/>
      <c r="I6" s="3"/>
      <c r="J6" s="3"/>
    </row>
    <row r="7" spans="1:11" ht="18.75" x14ac:dyDescent="0.3">
      <c r="A7" s="21" t="s">
        <v>3</v>
      </c>
      <c r="B7" s="44"/>
      <c r="C7" s="45"/>
      <c r="D7" s="45"/>
      <c r="E7" s="45"/>
      <c r="F7" s="45"/>
      <c r="G7" s="46" t="s">
        <v>8</v>
      </c>
      <c r="H7" s="36"/>
      <c r="I7" s="3"/>
      <c r="J7" s="32"/>
    </row>
    <row r="8" spans="1:11" ht="18.75" x14ac:dyDescent="0.3">
      <c r="A8" s="21"/>
      <c r="B8" s="44"/>
      <c r="C8" s="45"/>
      <c r="D8" s="45"/>
      <c r="E8" s="45"/>
      <c r="F8" s="45"/>
      <c r="G8" s="46"/>
      <c r="H8" s="47"/>
      <c r="I8" s="3"/>
      <c r="J8" s="32"/>
    </row>
    <row r="9" spans="1:11" ht="18" x14ac:dyDescent="0.25">
      <c r="A9" s="21" t="s">
        <v>4</v>
      </c>
      <c r="B9" s="44"/>
      <c r="C9" s="46"/>
      <c r="D9" s="46"/>
      <c r="E9" s="46"/>
      <c r="F9" s="46"/>
      <c r="G9" s="46" t="s">
        <v>8</v>
      </c>
      <c r="H9" s="48"/>
      <c r="I9" s="3"/>
      <c r="J9" s="22"/>
      <c r="K9" s="22"/>
    </row>
    <row r="10" spans="1:11" ht="18" x14ac:dyDescent="0.25">
      <c r="A10" s="33"/>
      <c r="B10" s="10"/>
      <c r="C10" s="46"/>
      <c r="D10" s="46"/>
      <c r="E10" s="46"/>
      <c r="F10" s="46"/>
      <c r="G10" s="46"/>
      <c r="H10" s="48"/>
      <c r="I10" s="3"/>
      <c r="J10" s="22"/>
      <c r="K10" s="22"/>
    </row>
    <row r="11" spans="1:11" ht="18" x14ac:dyDescent="0.25">
      <c r="A11" s="21" t="s">
        <v>5</v>
      </c>
      <c r="B11" s="44"/>
      <c r="C11" s="46"/>
      <c r="D11" s="46"/>
      <c r="E11" s="46"/>
      <c r="F11" s="46"/>
      <c r="G11" s="46" t="s">
        <v>8</v>
      </c>
      <c r="H11" s="48"/>
      <c r="I11" s="3"/>
      <c r="J11" s="22"/>
      <c r="K11" s="22"/>
    </row>
    <row r="12" spans="1:11" ht="18" x14ac:dyDescent="0.25">
      <c r="A12" s="21"/>
      <c r="B12" s="44"/>
      <c r="C12" s="46"/>
      <c r="D12" s="46"/>
      <c r="E12" s="46"/>
      <c r="F12" s="46"/>
      <c r="G12" s="46"/>
      <c r="H12" s="48"/>
      <c r="I12" s="3"/>
      <c r="J12" s="22"/>
      <c r="K12" s="22"/>
    </row>
    <row r="13" spans="1:11" ht="18" x14ac:dyDescent="0.25">
      <c r="A13" s="21" t="s">
        <v>6</v>
      </c>
      <c r="B13" s="44"/>
      <c r="C13" s="46"/>
      <c r="D13" s="46"/>
      <c r="E13" s="46"/>
      <c r="F13" s="46"/>
      <c r="G13" s="46"/>
      <c r="H13" s="48"/>
      <c r="I13" s="3"/>
      <c r="J13" s="22"/>
      <c r="K13" s="22"/>
    </row>
    <row r="14" spans="1:11" ht="18" x14ac:dyDescent="0.25">
      <c r="A14" s="3" t="s">
        <v>41</v>
      </c>
      <c r="B14" s="10"/>
      <c r="C14" s="46"/>
      <c r="D14" s="46"/>
      <c r="E14" s="49"/>
      <c r="F14" s="55"/>
      <c r="G14" s="46" t="s">
        <v>8</v>
      </c>
      <c r="H14" s="50"/>
      <c r="I14" s="3"/>
      <c r="J14" s="22"/>
      <c r="K14" s="22"/>
    </row>
    <row r="15" spans="1:11" ht="18" x14ac:dyDescent="0.25">
      <c r="A15" s="3"/>
      <c r="B15" s="10"/>
      <c r="C15" s="46">
        <v>515000</v>
      </c>
      <c r="D15" s="46"/>
      <c r="E15" s="49"/>
      <c r="F15" s="49"/>
      <c r="G15" s="46"/>
      <c r="H15" s="48"/>
      <c r="I15" s="3"/>
      <c r="J15" s="22"/>
      <c r="K15" s="22"/>
    </row>
    <row r="16" spans="1:11" ht="18" x14ac:dyDescent="0.25">
      <c r="A16" s="21" t="s">
        <v>7</v>
      </c>
      <c r="B16" s="44"/>
      <c r="C16" s="46"/>
      <c r="D16" s="46"/>
      <c r="E16" s="49"/>
      <c r="F16" s="49"/>
      <c r="G16" s="46" t="s">
        <v>8</v>
      </c>
      <c r="H16" s="48"/>
      <c r="I16" s="3"/>
      <c r="J16" s="22"/>
      <c r="K16" s="22"/>
    </row>
    <row r="17" spans="1:11" ht="18" x14ac:dyDescent="0.25">
      <c r="A17" s="21"/>
      <c r="B17" s="44"/>
      <c r="C17" s="46"/>
      <c r="D17" s="46"/>
      <c r="E17" s="49"/>
      <c r="F17" s="49"/>
      <c r="G17" s="46"/>
      <c r="H17" s="48"/>
      <c r="I17" s="3"/>
      <c r="J17" s="22"/>
      <c r="K17" s="22"/>
    </row>
    <row r="18" spans="1:11" ht="18" x14ac:dyDescent="0.25">
      <c r="A18" s="21" t="s">
        <v>9</v>
      </c>
      <c r="B18" s="44"/>
      <c r="C18" s="46"/>
      <c r="D18" s="46"/>
      <c r="E18" s="49"/>
      <c r="F18" s="49"/>
      <c r="G18" s="46" t="s">
        <v>8</v>
      </c>
      <c r="H18" s="48"/>
      <c r="I18" s="3"/>
      <c r="J18" s="22"/>
      <c r="K18" s="22"/>
    </row>
    <row r="19" spans="1:11" ht="18" x14ac:dyDescent="0.25">
      <c r="A19" s="21"/>
      <c r="B19" s="44"/>
      <c r="C19" s="46"/>
      <c r="D19" s="46"/>
      <c r="E19" s="49"/>
      <c r="F19" s="49"/>
      <c r="G19" s="46"/>
      <c r="H19" s="48"/>
      <c r="I19" s="3"/>
      <c r="J19" s="22"/>
      <c r="K19" s="22"/>
    </row>
    <row r="20" spans="1:11" ht="18" x14ac:dyDescent="0.25">
      <c r="A20" s="21" t="s">
        <v>10</v>
      </c>
      <c r="B20" s="10"/>
      <c r="C20" s="46"/>
      <c r="D20" s="46"/>
      <c r="E20" s="49"/>
      <c r="F20" s="49"/>
      <c r="G20" s="46"/>
      <c r="H20" s="48"/>
      <c r="I20" s="3"/>
      <c r="J20" s="22"/>
      <c r="K20" s="22"/>
    </row>
    <row r="21" spans="1:11" ht="18" x14ac:dyDescent="0.25">
      <c r="A21" s="3" t="s">
        <v>11</v>
      </c>
      <c r="B21" s="10">
        <v>311</v>
      </c>
      <c r="C21" s="46"/>
      <c r="D21" s="46"/>
      <c r="E21" s="49">
        <v>0.25</v>
      </c>
      <c r="F21" s="55">
        <v>17000</v>
      </c>
      <c r="G21" s="46">
        <f>+F21+1500</f>
        <v>18500</v>
      </c>
      <c r="H21" s="50">
        <f>+G21+1000</f>
        <v>19500</v>
      </c>
      <c r="I21" s="3"/>
      <c r="J21" s="22"/>
      <c r="K21" s="22"/>
    </row>
    <row r="22" spans="1:11" ht="18" x14ac:dyDescent="0.25">
      <c r="A22" s="3"/>
      <c r="B22" s="10"/>
      <c r="C22" s="46"/>
      <c r="D22" s="46"/>
      <c r="E22" s="49"/>
      <c r="F22" s="49"/>
      <c r="G22" s="46"/>
      <c r="H22" s="48"/>
      <c r="I22" s="3"/>
      <c r="J22" s="22"/>
      <c r="K22" s="22"/>
    </row>
    <row r="23" spans="1:11" ht="18" x14ac:dyDescent="0.25">
      <c r="A23" s="21" t="s">
        <v>12</v>
      </c>
      <c r="B23" s="44"/>
      <c r="C23" s="46"/>
      <c r="D23" s="46"/>
      <c r="E23" s="49"/>
      <c r="F23" s="49"/>
      <c r="G23" s="46"/>
      <c r="H23" s="48"/>
      <c r="I23" s="3"/>
      <c r="J23" s="22"/>
      <c r="K23" s="22"/>
    </row>
    <row r="24" spans="1:11" ht="18" x14ac:dyDescent="0.25">
      <c r="A24" s="3" t="s">
        <v>41</v>
      </c>
      <c r="B24" s="10">
        <v>412</v>
      </c>
      <c r="C24" s="46">
        <v>600000</v>
      </c>
      <c r="D24" s="46"/>
      <c r="E24" s="49">
        <f>+E21</f>
        <v>0.25</v>
      </c>
      <c r="F24" s="55">
        <f>+G24-1500</f>
        <v>18500</v>
      </c>
      <c r="G24" s="46">
        <v>20000</v>
      </c>
      <c r="H24" s="50">
        <f t="shared" ref="H24:H26" si="0">+G24+1000</f>
        <v>21000</v>
      </c>
      <c r="I24" s="3"/>
      <c r="J24" s="22"/>
      <c r="K24" s="22"/>
    </row>
    <row r="25" spans="1:11" ht="18" x14ac:dyDescent="0.25">
      <c r="A25" s="3" t="s">
        <v>42</v>
      </c>
      <c r="B25" s="10">
        <v>342</v>
      </c>
      <c r="C25" s="46">
        <v>540000</v>
      </c>
      <c r="D25" s="46"/>
      <c r="E25" s="49">
        <f>+E24</f>
        <v>0.25</v>
      </c>
      <c r="F25" s="55">
        <v>17500</v>
      </c>
      <c r="G25" s="46">
        <f>+F25+1500</f>
        <v>19000</v>
      </c>
      <c r="H25" s="50">
        <f t="shared" si="0"/>
        <v>20000</v>
      </c>
      <c r="I25" s="3"/>
      <c r="J25" s="22"/>
      <c r="K25" s="22"/>
    </row>
    <row r="26" spans="1:11" ht="18" x14ac:dyDescent="0.25">
      <c r="A26" s="3" t="s">
        <v>46</v>
      </c>
      <c r="B26" s="10">
        <v>342</v>
      </c>
      <c r="C26" s="46">
        <v>620000</v>
      </c>
      <c r="D26" s="46"/>
      <c r="E26" s="49">
        <f>+E25</f>
        <v>0.25</v>
      </c>
      <c r="F26" s="55">
        <f>+F25</f>
        <v>17500</v>
      </c>
      <c r="G26" s="46">
        <f>+G25</f>
        <v>19000</v>
      </c>
      <c r="H26" s="50">
        <f t="shared" si="0"/>
        <v>20000</v>
      </c>
      <c r="I26" s="3"/>
      <c r="J26" s="22"/>
      <c r="K26" s="22"/>
    </row>
    <row r="27" spans="1:11" ht="18" x14ac:dyDescent="0.25">
      <c r="A27" s="3"/>
      <c r="B27" s="10"/>
      <c r="C27" s="46">
        <v>650000</v>
      </c>
      <c r="D27" s="46"/>
      <c r="E27" s="49"/>
      <c r="F27" s="55"/>
      <c r="G27" s="46"/>
      <c r="H27" s="48"/>
      <c r="I27" s="3"/>
      <c r="J27" s="22"/>
      <c r="K27" s="22"/>
    </row>
    <row r="28" spans="1:11" ht="18" x14ac:dyDescent="0.25">
      <c r="A28" s="21" t="s">
        <v>13</v>
      </c>
      <c r="B28" s="44"/>
      <c r="C28" s="46"/>
      <c r="D28" s="46"/>
      <c r="E28" s="49"/>
      <c r="F28" s="55"/>
      <c r="G28" s="46"/>
      <c r="H28" s="48"/>
      <c r="I28" s="3"/>
      <c r="J28" s="22"/>
      <c r="K28" s="22"/>
    </row>
    <row r="29" spans="1:11" ht="18" x14ac:dyDescent="0.25">
      <c r="A29" s="3" t="s">
        <v>55</v>
      </c>
      <c r="B29" s="10">
        <v>301</v>
      </c>
      <c r="C29" s="46">
        <v>560000</v>
      </c>
      <c r="D29" s="46"/>
      <c r="E29" s="49">
        <f>+E26</f>
        <v>0.25</v>
      </c>
      <c r="F29" s="55">
        <v>16500</v>
      </c>
      <c r="G29" s="46">
        <f>+F29+1500</f>
        <v>18000</v>
      </c>
      <c r="H29" s="50">
        <f t="shared" ref="H29:H30" si="1">+G29+1000</f>
        <v>19000</v>
      </c>
      <c r="I29" s="3"/>
      <c r="J29" s="22"/>
      <c r="K29" s="22"/>
    </row>
    <row r="30" spans="1:11" ht="18" x14ac:dyDescent="0.25">
      <c r="A30" s="3" t="s">
        <v>44</v>
      </c>
      <c r="B30" s="10">
        <v>300</v>
      </c>
      <c r="C30" s="46"/>
      <c r="D30" s="46"/>
      <c r="E30" s="49">
        <f>+E29</f>
        <v>0.25</v>
      </c>
      <c r="F30" s="55">
        <f>+F29-500</f>
        <v>16000</v>
      </c>
      <c r="G30" s="46">
        <f>+F30+1500</f>
        <v>17500</v>
      </c>
      <c r="H30" s="50">
        <f t="shared" si="1"/>
        <v>18500</v>
      </c>
      <c r="I30" s="3"/>
      <c r="J30" s="22"/>
      <c r="K30" s="22"/>
    </row>
    <row r="31" spans="1:11" ht="18" x14ac:dyDescent="0.25">
      <c r="A31" s="3"/>
      <c r="B31" s="10"/>
      <c r="C31" s="46"/>
      <c r="D31" s="46"/>
      <c r="E31" s="49"/>
      <c r="F31" s="55"/>
      <c r="G31" s="46"/>
      <c r="H31" s="48"/>
      <c r="I31" s="3"/>
      <c r="J31" s="22"/>
      <c r="K31" s="22"/>
    </row>
    <row r="32" spans="1:11" ht="18" x14ac:dyDescent="0.25">
      <c r="A32" s="21" t="s">
        <v>14</v>
      </c>
      <c r="B32" s="44"/>
      <c r="C32" s="46"/>
      <c r="D32" s="46"/>
      <c r="E32" s="49"/>
      <c r="F32" s="55"/>
      <c r="G32" s="46" t="s">
        <v>8</v>
      </c>
      <c r="H32" s="48"/>
      <c r="I32" s="3"/>
      <c r="J32" s="22"/>
      <c r="K32" s="22"/>
    </row>
    <row r="33" spans="1:11" ht="18" x14ac:dyDescent="0.25">
      <c r="A33" s="3"/>
      <c r="B33" s="10"/>
      <c r="C33" s="46"/>
      <c r="D33" s="46"/>
      <c r="E33" s="49"/>
      <c r="F33" s="55"/>
      <c r="G33" s="46"/>
      <c r="H33" s="48"/>
      <c r="I33" s="3"/>
      <c r="J33" s="22"/>
      <c r="K33" s="22"/>
    </row>
    <row r="34" spans="1:11" ht="18" x14ac:dyDescent="0.25">
      <c r="A34" s="21" t="s">
        <v>15</v>
      </c>
      <c r="B34" s="44"/>
      <c r="C34" s="46"/>
      <c r="D34" s="46"/>
      <c r="E34" s="49"/>
      <c r="F34" s="55"/>
      <c r="G34" s="46"/>
      <c r="H34" s="48"/>
      <c r="I34" s="3"/>
      <c r="J34" s="22"/>
      <c r="K34" s="22"/>
    </row>
    <row r="35" spans="1:11" ht="18" x14ac:dyDescent="0.25">
      <c r="A35" s="3" t="s">
        <v>45</v>
      </c>
      <c r="B35" s="10">
        <v>360</v>
      </c>
      <c r="C35" s="46"/>
      <c r="D35" s="46"/>
      <c r="E35" s="49">
        <f>+E30</f>
        <v>0.25</v>
      </c>
      <c r="F35" s="55">
        <f>+F30+1000</f>
        <v>17000</v>
      </c>
      <c r="G35" s="46">
        <f>+F35+1500</f>
        <v>18500</v>
      </c>
      <c r="H35" s="50">
        <f t="shared" ref="H35" si="2">+G35+1000</f>
        <v>19500</v>
      </c>
      <c r="I35" s="3"/>
      <c r="J35" s="22"/>
      <c r="K35" s="22"/>
    </row>
    <row r="36" spans="1:11" ht="18" x14ac:dyDescent="0.25">
      <c r="A36" s="3"/>
      <c r="B36" s="10"/>
      <c r="C36" s="47"/>
      <c r="D36" s="47"/>
      <c r="E36" s="49"/>
      <c r="F36" s="55"/>
      <c r="G36" s="47"/>
      <c r="H36" s="48"/>
      <c r="I36" s="3"/>
      <c r="J36" s="22"/>
      <c r="K36" s="22"/>
    </row>
    <row r="37" spans="1:11" ht="18" x14ac:dyDescent="0.25">
      <c r="A37" s="21" t="s">
        <v>17</v>
      </c>
      <c r="B37" s="44"/>
      <c r="C37" s="46"/>
      <c r="D37" s="46"/>
      <c r="E37" s="49"/>
      <c r="F37" s="55"/>
      <c r="G37" s="46"/>
      <c r="H37" s="48"/>
      <c r="I37" s="3"/>
      <c r="J37" s="22"/>
      <c r="K37" s="22"/>
    </row>
    <row r="38" spans="1:11" ht="18" x14ac:dyDescent="0.25">
      <c r="A38" s="3" t="s">
        <v>56</v>
      </c>
      <c r="B38" s="10">
        <v>351</v>
      </c>
      <c r="C38" s="46">
        <v>620000</v>
      </c>
      <c r="D38" s="46"/>
      <c r="E38" s="49">
        <v>0.3</v>
      </c>
      <c r="F38" s="55">
        <f>+F25</f>
        <v>17500</v>
      </c>
      <c r="G38" s="46">
        <f>+F38+1500</f>
        <v>19000</v>
      </c>
      <c r="H38" s="50">
        <f>+G38+1000</f>
        <v>20000</v>
      </c>
      <c r="I38" s="3"/>
      <c r="J38" s="22"/>
      <c r="K38" s="22"/>
    </row>
    <row r="39" spans="1:11" ht="18" x14ac:dyDescent="0.25">
      <c r="A39" s="3" t="s">
        <v>18</v>
      </c>
      <c r="B39" s="10">
        <v>352</v>
      </c>
      <c r="C39" s="46">
        <v>540000</v>
      </c>
      <c r="D39" s="46"/>
      <c r="E39" s="49">
        <f>+E38</f>
        <v>0.3</v>
      </c>
      <c r="F39" s="55">
        <f>+F38</f>
        <v>17500</v>
      </c>
      <c r="G39" s="46">
        <f>+F39+1500</f>
        <v>19000</v>
      </c>
      <c r="H39" s="50">
        <f t="shared" ref="H39:H40" si="3">+G39+1000</f>
        <v>20000</v>
      </c>
      <c r="I39" s="3"/>
      <c r="J39" s="22"/>
      <c r="K39" s="22"/>
    </row>
    <row r="40" spans="1:11" ht="18" x14ac:dyDescent="0.25">
      <c r="A40" s="3" t="s">
        <v>54</v>
      </c>
      <c r="B40" s="10">
        <v>351</v>
      </c>
      <c r="C40" s="46"/>
      <c r="D40" s="46"/>
      <c r="E40" s="49">
        <f>+E39</f>
        <v>0.3</v>
      </c>
      <c r="F40" s="55">
        <f>+F35</f>
        <v>17000</v>
      </c>
      <c r="G40" s="46">
        <f>+F40+1500</f>
        <v>18500</v>
      </c>
      <c r="H40" s="50">
        <f t="shared" si="3"/>
        <v>19500</v>
      </c>
      <c r="I40" s="3"/>
      <c r="J40" s="22"/>
      <c r="K40" s="22"/>
    </row>
    <row r="41" spans="1:11" ht="18" x14ac:dyDescent="0.25">
      <c r="A41" s="3"/>
      <c r="B41" s="10"/>
      <c r="C41" s="47"/>
      <c r="D41" s="47"/>
      <c r="E41" s="49"/>
      <c r="F41" s="55"/>
      <c r="G41" s="47"/>
      <c r="H41" s="48"/>
      <c r="I41" s="3"/>
      <c r="J41" s="22"/>
      <c r="K41" s="22"/>
    </row>
    <row r="42" spans="1:11" ht="18" x14ac:dyDescent="0.25">
      <c r="A42" s="21" t="s">
        <v>19</v>
      </c>
      <c r="B42" s="44"/>
      <c r="C42" s="47"/>
      <c r="D42" s="47"/>
      <c r="E42" s="49"/>
      <c r="F42" s="55"/>
      <c r="G42" s="47"/>
      <c r="H42" s="48"/>
      <c r="I42" s="3"/>
      <c r="J42" s="22"/>
      <c r="K42" s="22"/>
    </row>
    <row r="43" spans="1:11" ht="18" x14ac:dyDescent="0.25">
      <c r="A43" s="3" t="s">
        <v>47</v>
      </c>
      <c r="B43" s="10">
        <v>342</v>
      </c>
      <c r="C43" s="46">
        <v>560000</v>
      </c>
      <c r="D43" s="46"/>
      <c r="E43" s="49">
        <f>+E40</f>
        <v>0.3</v>
      </c>
      <c r="F43" s="55">
        <f>+F38</f>
        <v>17500</v>
      </c>
      <c r="G43" s="46">
        <f>+F43+1500</f>
        <v>19000</v>
      </c>
      <c r="H43" s="50">
        <f>+G43+1000</f>
        <v>20000</v>
      </c>
      <c r="I43" s="3"/>
      <c r="J43" s="22"/>
      <c r="K43" s="22"/>
    </row>
    <row r="44" spans="1:11" ht="18.75" thickBot="1" x14ac:dyDescent="0.3">
      <c r="A44" s="3" t="s">
        <v>40</v>
      </c>
      <c r="B44" s="7">
        <v>342</v>
      </c>
      <c r="C44" s="51">
        <v>530000</v>
      </c>
      <c r="D44" s="51"/>
      <c r="E44" s="53">
        <f>+E43</f>
        <v>0.3</v>
      </c>
      <c r="F44" s="56">
        <f>+F40</f>
        <v>17000</v>
      </c>
      <c r="G44" s="51">
        <f>+F44+1500</f>
        <v>18500</v>
      </c>
      <c r="H44" s="52">
        <f>+G44+1000</f>
        <v>19500</v>
      </c>
      <c r="I44" s="3"/>
      <c r="J44" s="22"/>
      <c r="K44" s="22"/>
    </row>
    <row r="45" spans="1:11" ht="18" x14ac:dyDescent="0.25">
      <c r="H45" s="32"/>
      <c r="I45" s="3"/>
      <c r="J45" s="3"/>
    </row>
    <row r="46" spans="1:11" ht="18" x14ac:dyDescent="0.25">
      <c r="A46" s="21"/>
      <c r="B46" s="2"/>
      <c r="H46" s="32"/>
      <c r="I46" s="3"/>
      <c r="J46" s="3"/>
    </row>
    <row r="47" spans="1:11" ht="18" x14ac:dyDescent="0.25">
      <c r="A47" s="3"/>
      <c r="B47" s="25"/>
      <c r="G47" s="22"/>
      <c r="H47" s="32"/>
      <c r="I47" s="3"/>
      <c r="J47" s="22"/>
    </row>
    <row r="48" spans="1:11" ht="18" x14ac:dyDescent="0.25">
      <c r="A48" s="3"/>
      <c r="B48" s="25"/>
      <c r="G48" s="22"/>
      <c r="H48" s="32"/>
      <c r="I48" s="3"/>
      <c r="J48" s="22"/>
    </row>
    <row r="49" spans="1:10" ht="18" x14ac:dyDescent="0.25">
      <c r="A49" s="3"/>
      <c r="B49" s="25"/>
      <c r="G49" s="22"/>
      <c r="H49" s="32"/>
      <c r="I49" s="3"/>
      <c r="J49" s="22"/>
    </row>
    <row r="50" spans="1:10" ht="18" x14ac:dyDescent="0.25">
      <c r="C50" s="22"/>
      <c r="D50" s="22"/>
      <c r="E50" s="22"/>
      <c r="F50" s="22"/>
      <c r="G50" s="22"/>
      <c r="I50" s="3"/>
      <c r="J50" s="3"/>
    </row>
    <row r="51" spans="1:10" ht="18" x14ac:dyDescent="0.25">
      <c r="C51" s="22"/>
      <c r="D51" s="22"/>
      <c r="E51" s="22"/>
      <c r="F51" s="22"/>
      <c r="G51" s="22"/>
      <c r="I51" s="3"/>
      <c r="J51" s="3"/>
    </row>
  </sheetData>
  <mergeCells count="1">
    <mergeCell ref="G4:H4"/>
  </mergeCells>
  <pageMargins left="0.35433070866141736" right="0.11811023622047245" top="0.78740157480314965" bottom="0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"/>
  <sheetViews>
    <sheetView topLeftCell="A4" workbookViewId="0">
      <selection activeCell="D14" sqref="D14"/>
    </sheetView>
  </sheetViews>
  <sheetFormatPr baseColWidth="10" defaultColWidth="11.42578125" defaultRowHeight="15" x14ac:dyDescent="0.25"/>
  <cols>
    <col min="1" max="1" width="40.140625" customWidth="1"/>
    <col min="2" max="2" width="13.85546875" customWidth="1"/>
    <col min="3" max="5" width="12.5703125" customWidth="1"/>
    <col min="6" max="6" width="18.28515625" customWidth="1"/>
  </cols>
  <sheetData>
    <row r="1" spans="1:6" ht="26.25" x14ac:dyDescent="0.4">
      <c r="A1" s="24" t="s">
        <v>20</v>
      </c>
      <c r="B1" s="2"/>
      <c r="C1" s="2"/>
      <c r="D1" s="2"/>
      <c r="E1" s="2"/>
    </row>
    <row r="2" spans="1:6" ht="20.25" x14ac:dyDescent="0.3">
      <c r="A2" s="31" t="s">
        <v>21</v>
      </c>
      <c r="B2" s="2"/>
      <c r="C2" s="2"/>
      <c r="D2" s="2"/>
      <c r="E2" s="2"/>
    </row>
    <row r="3" spans="1:6" ht="16.5" thickBot="1" x14ac:dyDescent="0.3">
      <c r="A3" s="2"/>
      <c r="B3" s="2"/>
      <c r="C3" s="2"/>
      <c r="D3" s="2"/>
      <c r="E3" s="2"/>
    </row>
    <row r="4" spans="1:6" ht="18.75" thickBot="1" x14ac:dyDescent="0.3">
      <c r="A4" s="3"/>
      <c r="B4" s="26" t="s">
        <v>22</v>
      </c>
      <c r="C4" s="59" t="s">
        <v>23</v>
      </c>
      <c r="D4" s="59"/>
      <c r="E4" s="59"/>
      <c r="F4" s="27" t="s">
        <v>24</v>
      </c>
    </row>
    <row r="5" spans="1:6" ht="18.75" thickBot="1" x14ac:dyDescent="0.3">
      <c r="A5" s="3"/>
      <c r="B5" s="28"/>
      <c r="C5" s="29" t="s">
        <v>25</v>
      </c>
      <c r="D5" s="29" t="s">
        <v>26</v>
      </c>
      <c r="E5" s="29" t="s">
        <v>27</v>
      </c>
      <c r="F5" s="30"/>
    </row>
    <row r="6" spans="1:6" ht="18" x14ac:dyDescent="0.25">
      <c r="A6" s="8" t="s">
        <v>28</v>
      </c>
      <c r="B6" s="9"/>
      <c r="C6" s="9"/>
      <c r="D6" s="9"/>
      <c r="E6" s="9"/>
      <c r="F6" s="18"/>
    </row>
    <row r="7" spans="1:6" ht="18" x14ac:dyDescent="0.25">
      <c r="A7" s="3" t="s">
        <v>29</v>
      </c>
      <c r="B7" s="11">
        <v>2100</v>
      </c>
      <c r="C7" s="10">
        <v>2</v>
      </c>
      <c r="D7" s="10">
        <v>2</v>
      </c>
      <c r="E7" s="12">
        <f t="shared" ref="E7:E9" si="0">+C7-D7</f>
        <v>0</v>
      </c>
      <c r="F7" s="19"/>
    </row>
    <row r="8" spans="1:6" ht="18" x14ac:dyDescent="0.25">
      <c r="A8" s="3" t="s">
        <v>30</v>
      </c>
      <c r="B8" s="11">
        <v>1000</v>
      </c>
      <c r="C8" s="10">
        <v>2</v>
      </c>
      <c r="D8" s="10">
        <v>2</v>
      </c>
      <c r="E8" s="12">
        <f t="shared" si="0"/>
        <v>0</v>
      </c>
      <c r="F8" s="35"/>
    </row>
    <row r="9" spans="1:6" ht="18" x14ac:dyDescent="0.25">
      <c r="A9" s="3" t="s">
        <v>31</v>
      </c>
      <c r="B9" s="11">
        <v>2400</v>
      </c>
      <c r="C9" s="10">
        <v>2</v>
      </c>
      <c r="D9" s="10">
        <v>2</v>
      </c>
      <c r="E9" s="12">
        <f t="shared" si="0"/>
        <v>0</v>
      </c>
      <c r="F9" s="35"/>
    </row>
    <row r="10" spans="1:6" ht="18" x14ac:dyDescent="0.25">
      <c r="A10" s="3" t="s">
        <v>16</v>
      </c>
      <c r="B10" s="11"/>
      <c r="C10" s="10">
        <v>1</v>
      </c>
      <c r="D10" s="10">
        <v>1</v>
      </c>
      <c r="E10" s="12">
        <f>+C10-D10</f>
        <v>0</v>
      </c>
      <c r="F10" s="34"/>
    </row>
    <row r="11" spans="1:6" ht="18" x14ac:dyDescent="0.25">
      <c r="A11" s="3" t="s">
        <v>32</v>
      </c>
      <c r="B11" s="11">
        <v>2400</v>
      </c>
      <c r="C11" s="10">
        <v>4</v>
      </c>
      <c r="D11" s="10">
        <v>4</v>
      </c>
      <c r="E11" s="12">
        <f t="shared" ref="E11:E18" si="1">+C11-D11</f>
        <v>0</v>
      </c>
      <c r="F11" s="35"/>
    </row>
    <row r="12" spans="1:6" ht="18" x14ac:dyDescent="0.25">
      <c r="A12" s="3" t="s">
        <v>33</v>
      </c>
      <c r="B12" s="11">
        <v>1600</v>
      </c>
      <c r="C12" s="10">
        <v>3</v>
      </c>
      <c r="D12" s="10">
        <v>3</v>
      </c>
      <c r="E12" s="12">
        <f t="shared" si="1"/>
        <v>0</v>
      </c>
      <c r="F12" s="35"/>
    </row>
    <row r="13" spans="1:6" ht="18" x14ac:dyDescent="0.25">
      <c r="A13" s="3" t="s">
        <v>34</v>
      </c>
      <c r="B13" s="11">
        <v>2200</v>
      </c>
      <c r="C13" s="10">
        <v>3</v>
      </c>
      <c r="D13" s="10">
        <v>3</v>
      </c>
      <c r="E13" s="12">
        <f t="shared" si="1"/>
        <v>0</v>
      </c>
      <c r="F13" s="35"/>
    </row>
    <row r="14" spans="1:6" ht="18" x14ac:dyDescent="0.25">
      <c r="A14" s="8" t="s">
        <v>35</v>
      </c>
      <c r="B14" s="13"/>
      <c r="C14" s="10"/>
      <c r="D14" s="10"/>
      <c r="E14" s="12">
        <f t="shared" si="1"/>
        <v>0</v>
      </c>
      <c r="F14" s="19"/>
    </row>
    <row r="15" spans="1:6" ht="18" x14ac:dyDescent="0.25">
      <c r="A15" s="3" t="s">
        <v>36</v>
      </c>
      <c r="B15" s="11">
        <v>2000</v>
      </c>
      <c r="C15" s="10">
        <v>2</v>
      </c>
      <c r="D15" s="10">
        <v>2</v>
      </c>
      <c r="E15" s="12">
        <f t="shared" si="1"/>
        <v>0</v>
      </c>
      <c r="F15" s="19"/>
    </row>
    <row r="16" spans="1:6" ht="18" x14ac:dyDescent="0.25">
      <c r="A16" s="3" t="s">
        <v>37</v>
      </c>
      <c r="B16" s="11">
        <v>2000</v>
      </c>
      <c r="C16" s="10">
        <v>2</v>
      </c>
      <c r="D16" s="10">
        <v>2</v>
      </c>
      <c r="E16" s="12">
        <f t="shared" si="1"/>
        <v>0</v>
      </c>
      <c r="F16" s="19"/>
    </row>
    <row r="17" spans="1:6" ht="18" x14ac:dyDescent="0.25">
      <c r="A17" s="3" t="s">
        <v>38</v>
      </c>
      <c r="B17" s="11">
        <v>2000</v>
      </c>
      <c r="C17" s="10">
        <v>2</v>
      </c>
      <c r="D17" s="10">
        <v>2</v>
      </c>
      <c r="E17" s="12">
        <f t="shared" si="1"/>
        <v>0</v>
      </c>
      <c r="F17" s="19"/>
    </row>
    <row r="18" spans="1:6" ht="18" x14ac:dyDescent="0.25">
      <c r="A18" s="3" t="s">
        <v>39</v>
      </c>
      <c r="B18" s="11">
        <v>3000</v>
      </c>
      <c r="C18" s="10">
        <v>2</v>
      </c>
      <c r="D18" s="10">
        <v>2</v>
      </c>
      <c r="E18" s="12">
        <f t="shared" si="1"/>
        <v>0</v>
      </c>
      <c r="F18" s="19"/>
    </row>
    <row r="19" spans="1:6" ht="18.75" thickBot="1" x14ac:dyDescent="0.3">
      <c r="A19" s="3"/>
      <c r="B19" s="7"/>
      <c r="C19" s="7"/>
      <c r="D19" s="7"/>
      <c r="E19" s="14"/>
      <c r="F19" s="20"/>
    </row>
    <row r="20" spans="1:6" ht="19.5" thickBot="1" x14ac:dyDescent="0.35">
      <c r="A20" s="3"/>
      <c r="B20" s="3"/>
      <c r="C20" s="15">
        <f>SUM(C7:C19)</f>
        <v>25</v>
      </c>
      <c r="D20" s="15">
        <f t="shared" ref="D20:E20" si="2">SUM(D7:D19)</f>
        <v>25</v>
      </c>
      <c r="E20" s="16">
        <f t="shared" si="2"/>
        <v>0</v>
      </c>
      <c r="F20" s="17"/>
    </row>
    <row r="21" spans="1:6" ht="18.75" x14ac:dyDescent="0.3">
      <c r="A21" s="17"/>
      <c r="B21" s="17"/>
      <c r="C21" s="17"/>
      <c r="D21" s="17"/>
      <c r="E21" s="17"/>
      <c r="F21" s="17"/>
    </row>
    <row r="22" spans="1:6" ht="18.75" x14ac:dyDescent="0.3">
      <c r="A22" s="17"/>
      <c r="B22" s="17"/>
      <c r="C22" s="17"/>
      <c r="D22" s="17"/>
      <c r="E22" s="17"/>
      <c r="F22" s="17"/>
    </row>
  </sheetData>
  <mergeCells count="1">
    <mergeCell ref="C4:E4"/>
  </mergeCells>
  <pageMargins left="0.70866141732283472" right="0.31496062992125984" top="1.1417322834645669" bottom="0.35433070866141736" header="0.31496062992125984" footer="0.31496062992125984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Lotes chicos</vt:lpstr>
      <vt:lpstr>Lotes grandes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GERARDO_F</dc:creator>
  <cp:lastModifiedBy>Gerardo Ernesto Fernández</cp:lastModifiedBy>
  <cp:revision/>
  <cp:lastPrinted>2026-05-18T14:08:38Z</cp:lastPrinted>
  <dcterms:created xsi:type="dcterms:W3CDTF">2015-10-15T12:25:43Z</dcterms:created>
  <dcterms:modified xsi:type="dcterms:W3CDTF">2026-05-18T14:08:55Z</dcterms:modified>
</cp:coreProperties>
</file>