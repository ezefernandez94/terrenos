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rdo\Dropbox\Loteo Los Aromos\"/>
    </mc:Choice>
  </mc:AlternateContent>
  <xr:revisionPtr revIDLastSave="0" documentId="13_ncr:1_{B5042A59-F942-4799-99D0-897495AA2C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D8" i="1" l="1"/>
  <c r="E8" i="1" s="1"/>
  <c r="F8" i="1" s="1"/>
  <c r="D24" i="1"/>
  <c r="E24" i="1" s="1"/>
  <c r="F24" i="1" s="1"/>
  <c r="D20" i="1"/>
  <c r="E20" i="1" s="1"/>
  <c r="F20" i="1" s="1"/>
  <c r="D19" i="1"/>
  <c r="E19" i="1" s="1"/>
  <c r="F19" i="1" s="1"/>
  <c r="E18" i="1"/>
  <c r="F18" i="1" s="1"/>
  <c r="D18" i="1"/>
  <c r="F13" i="1"/>
  <c r="F14" i="1"/>
  <c r="F15" i="1"/>
  <c r="E14" i="1"/>
  <c r="E15" i="1"/>
  <c r="E13" i="1"/>
  <c r="D14" i="1"/>
  <c r="D15" i="1"/>
  <c r="D13" i="1"/>
  <c r="B24" i="1" l="1"/>
  <c r="A23" i="1"/>
  <c r="B14" i="1"/>
  <c r="B15" i="1" l="1"/>
  <c r="B20" i="1" l="1"/>
  <c r="A20" i="1"/>
  <c r="B19" i="1"/>
  <c r="A19" i="1"/>
  <c r="B18" i="1"/>
  <c r="A18" i="1"/>
</calcChain>
</file>

<file path=xl/sharedStrings.xml><?xml version="1.0" encoding="utf-8"?>
<sst xmlns="http://schemas.openxmlformats.org/spreadsheetml/2006/main" count="21" uniqueCount="20">
  <si>
    <t>LISTA DE PRECIOS (EN DÓLARES)</t>
  </si>
  <si>
    <t>LOTEO LOS AROMOS</t>
  </si>
  <si>
    <t>MECHITA: ACCESO JOSÉ HERNÁNDEZ</t>
  </si>
  <si>
    <t>Lotes 4 y 5</t>
  </si>
  <si>
    <t>Lotes 1 y 8</t>
  </si>
  <si>
    <t>Lotes 2, 3, 6 y 7</t>
  </si>
  <si>
    <t>Lotes 1  a 4</t>
  </si>
  <si>
    <t>Lotes 5 a 8</t>
  </si>
  <si>
    <t>Contado</t>
  </si>
  <si>
    <t>Al boleto mínimo 20%</t>
  </si>
  <si>
    <t>24 cuotas</t>
  </si>
  <si>
    <t>36 cuotas</t>
  </si>
  <si>
    <t>48 cuotas</t>
  </si>
  <si>
    <t>Manzana 1 (Fracción 2)</t>
  </si>
  <si>
    <t>Manzana 2 (Fracción 4)</t>
  </si>
  <si>
    <t>Manzana 3 (Fracción 6)</t>
  </si>
  <si>
    <t>Manzana 4 (Fracción 8)</t>
  </si>
  <si>
    <t>Vendidos</t>
  </si>
  <si>
    <t>Lotes 3 y 6</t>
  </si>
  <si>
    <t>Lotes 2,4, 5 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</si>
</sst>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Fill="1" applyBorder="1" applyAlignment="1">
      <alignment horizontal="center"/>
    </xf>
    <xf numFmtId="164" fontId="6" fillId="0" borderId="2" xfId="1" applyNumberFormat="1" applyFont="1" applyBorder="1"/>
    <xf numFmtId="0" fontId="7" fillId="0" borderId="0" xfId="0" applyFont="1"/>
    <xf numFmtId="164" fontId="6" fillId="0" borderId="3" xfId="1" applyNumberFormat="1" applyFont="1" applyBorder="1"/>
    <xf numFmtId="164" fontId="8" fillId="0" borderId="2" xfId="1" applyNumberFormat="1" applyFont="1" applyBorder="1"/>
    <xf numFmtId="0" fontId="3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topLeftCell="A9" workbookViewId="0">
      <selection sqref="A1:F25"/>
    </sheetView>
  </sheetViews>
  <sheetFormatPr baseColWidth="10" defaultRowHeight="15" x14ac:dyDescent="0.25"/>
  <cols>
    <col min="1" max="1" width="42" customWidth="1"/>
    <col min="2" max="2" width="18.28515625" customWidth="1"/>
    <col min="3" max="3" width="5" customWidth="1"/>
    <col min="4" max="6" width="18.28515625" customWidth="1"/>
  </cols>
  <sheetData>
    <row r="1" spans="1:6" ht="30" x14ac:dyDescent="0.4">
      <c r="A1" s="1" t="s">
        <v>1</v>
      </c>
      <c r="B1" s="2"/>
      <c r="C1" s="2"/>
      <c r="D1" s="2"/>
    </row>
    <row r="2" spans="1:6" ht="26.25" x14ac:dyDescent="0.4">
      <c r="A2" s="3" t="s">
        <v>2</v>
      </c>
      <c r="B2" s="2"/>
      <c r="C2" s="2"/>
      <c r="D2" s="2"/>
    </row>
    <row r="3" spans="1:6" ht="23.25" x14ac:dyDescent="0.35">
      <c r="A3" s="4" t="s">
        <v>0</v>
      </c>
      <c r="B3" s="2"/>
      <c r="C3" s="2"/>
      <c r="D3" s="2"/>
    </row>
    <row r="4" spans="1:6" ht="24" thickBot="1" x14ac:dyDescent="0.4">
      <c r="A4" s="4"/>
      <c r="B4" s="2"/>
      <c r="C4" s="2"/>
      <c r="D4" s="2"/>
    </row>
    <row r="5" spans="1:6" ht="24" thickBot="1" x14ac:dyDescent="0.4">
      <c r="A5" s="4"/>
      <c r="B5" s="11" t="s">
        <v>8</v>
      </c>
      <c r="C5" s="12"/>
      <c r="D5" s="16" t="s">
        <v>9</v>
      </c>
      <c r="E5" s="17"/>
      <c r="F5" s="18"/>
    </row>
    <row r="6" spans="1:6" ht="24" thickBot="1" x14ac:dyDescent="0.4">
      <c r="A6" s="4"/>
      <c r="B6" s="13"/>
      <c r="C6" s="14"/>
      <c r="D6" s="15" t="s">
        <v>10</v>
      </c>
      <c r="E6" s="15" t="s">
        <v>11</v>
      </c>
      <c r="F6" s="15" t="s">
        <v>12</v>
      </c>
    </row>
    <row r="7" spans="1:6" ht="20.25" x14ac:dyDescent="0.3">
      <c r="A7" s="8" t="s">
        <v>13</v>
      </c>
      <c r="B7" s="6"/>
      <c r="C7" s="2"/>
      <c r="D7" s="6"/>
      <c r="E7" s="6"/>
      <c r="F7" s="6"/>
    </row>
    <row r="8" spans="1:6" ht="20.25" x14ac:dyDescent="0.3">
      <c r="A8" s="5" t="s">
        <v>6</v>
      </c>
      <c r="B8" s="7">
        <v>30000</v>
      </c>
      <c r="C8" s="2"/>
      <c r="D8" s="7">
        <f>+B8+3000</f>
        <v>33000</v>
      </c>
      <c r="E8" s="7">
        <f>+D8+2000</f>
        <v>35000</v>
      </c>
      <c r="F8" s="7">
        <f>+E8+2000</f>
        <v>37000</v>
      </c>
    </row>
    <row r="9" spans="1:6" ht="20.25" x14ac:dyDescent="0.3">
      <c r="A9" s="5" t="s">
        <v>7</v>
      </c>
      <c r="B9" s="7">
        <v>22000</v>
      </c>
      <c r="C9" s="2"/>
      <c r="D9" s="7">
        <f>+B9+2000</f>
        <v>24000</v>
      </c>
      <c r="E9" s="7">
        <f>+D9+1000</f>
        <v>25000</v>
      </c>
      <c r="F9" s="7">
        <f>+E9+1000</f>
        <v>26000</v>
      </c>
    </row>
    <row r="10" spans="1:6" ht="20.25" x14ac:dyDescent="0.3">
      <c r="A10" s="5"/>
      <c r="B10" s="7"/>
      <c r="C10" s="2"/>
      <c r="D10" s="7"/>
      <c r="E10" s="7"/>
      <c r="F10" s="7"/>
    </row>
    <row r="11" spans="1:6" ht="20.25" x14ac:dyDescent="0.3">
      <c r="A11" s="5"/>
      <c r="B11" s="7"/>
      <c r="C11" s="2"/>
      <c r="D11" s="7"/>
      <c r="E11" s="7"/>
      <c r="F11" s="7"/>
    </row>
    <row r="12" spans="1:6" ht="20.25" x14ac:dyDescent="0.3">
      <c r="A12" s="8" t="s">
        <v>14</v>
      </c>
      <c r="B12" s="7"/>
      <c r="C12" s="2"/>
      <c r="D12" s="7"/>
      <c r="E12" s="7"/>
      <c r="F12" s="7"/>
    </row>
    <row r="13" spans="1:6" ht="20.25" x14ac:dyDescent="0.3">
      <c r="A13" s="5" t="s">
        <v>4</v>
      </c>
      <c r="B13" s="7">
        <v>20000</v>
      </c>
      <c r="C13" s="2"/>
      <c r="D13" s="7">
        <f>+B13+2000</f>
        <v>22000</v>
      </c>
      <c r="E13" s="7">
        <f>+D13+1000</f>
        <v>23000</v>
      </c>
      <c r="F13" s="7">
        <f>+E13+1000</f>
        <v>24000</v>
      </c>
    </row>
    <row r="14" spans="1:6" ht="20.25" x14ac:dyDescent="0.3">
      <c r="A14" s="5" t="s">
        <v>3</v>
      </c>
      <c r="B14" s="7">
        <f>+B13</f>
        <v>20000</v>
      </c>
      <c r="C14" s="2"/>
      <c r="D14" s="7">
        <f t="shared" ref="D14:D15" si="0">+B14+2000</f>
        <v>22000</v>
      </c>
      <c r="E14" s="7">
        <f t="shared" ref="E14:F15" si="1">+D14+1000</f>
        <v>23000</v>
      </c>
      <c r="F14" s="7">
        <f t="shared" si="1"/>
        <v>24000</v>
      </c>
    </row>
    <row r="15" spans="1:6" ht="20.25" x14ac:dyDescent="0.3">
      <c r="A15" s="5" t="s">
        <v>5</v>
      </c>
      <c r="B15" s="7">
        <f>+B14</f>
        <v>20000</v>
      </c>
      <c r="C15" s="2"/>
      <c r="D15" s="7">
        <f t="shared" si="0"/>
        <v>22000</v>
      </c>
      <c r="E15" s="7">
        <f t="shared" si="1"/>
        <v>23000</v>
      </c>
      <c r="F15" s="7">
        <f t="shared" si="1"/>
        <v>24000</v>
      </c>
    </row>
    <row r="16" spans="1:6" ht="20.25" x14ac:dyDescent="0.3">
      <c r="A16" s="5"/>
      <c r="B16" s="7"/>
      <c r="C16" s="2"/>
      <c r="D16" s="7"/>
      <c r="E16" s="7"/>
      <c r="F16" s="7"/>
    </row>
    <row r="17" spans="1:6" ht="20.25" x14ac:dyDescent="0.3">
      <c r="A17" s="8" t="s">
        <v>15</v>
      </c>
      <c r="B17" s="7"/>
      <c r="C17" s="2"/>
      <c r="D17" s="7"/>
      <c r="E17" s="7"/>
      <c r="F17" s="7"/>
    </row>
    <row r="18" spans="1:6" ht="20.25" x14ac:dyDescent="0.3">
      <c r="A18" s="5" t="str">
        <f t="shared" ref="A18:B20" si="2">+A13</f>
        <v>Lotes 1 y 8</v>
      </c>
      <c r="B18" s="10">
        <f t="shared" si="2"/>
        <v>20000</v>
      </c>
      <c r="C18" s="2"/>
      <c r="D18" s="7">
        <f>+B18+2000</f>
        <v>22000</v>
      </c>
      <c r="E18" s="7">
        <f>+D18+1000</f>
        <v>23000</v>
      </c>
      <c r="F18" s="7">
        <f>+E18+1000</f>
        <v>24000</v>
      </c>
    </row>
    <row r="19" spans="1:6" ht="20.25" x14ac:dyDescent="0.3">
      <c r="A19" s="5" t="str">
        <f t="shared" si="2"/>
        <v>Lotes 4 y 5</v>
      </c>
      <c r="B19" s="10">
        <f t="shared" si="2"/>
        <v>20000</v>
      </c>
      <c r="C19" s="2"/>
      <c r="D19" s="7">
        <f t="shared" ref="D19:D20" si="3">+B19+2000</f>
        <v>22000</v>
      </c>
      <c r="E19" s="7">
        <f t="shared" ref="E19:F19" si="4">+D19+1000</f>
        <v>23000</v>
      </c>
      <c r="F19" s="7">
        <f t="shared" si="4"/>
        <v>24000</v>
      </c>
    </row>
    <row r="20" spans="1:6" ht="20.25" x14ac:dyDescent="0.3">
      <c r="A20" s="5" t="str">
        <f t="shared" si="2"/>
        <v>Lotes 2, 3, 6 y 7</v>
      </c>
      <c r="B20" s="10">
        <f t="shared" si="2"/>
        <v>20000</v>
      </c>
      <c r="C20" s="2"/>
      <c r="D20" s="7">
        <f t="shared" si="3"/>
        <v>22000</v>
      </c>
      <c r="E20" s="7">
        <f t="shared" ref="E20:F20" si="5">+D20+1000</f>
        <v>23000</v>
      </c>
      <c r="F20" s="7">
        <f t="shared" si="5"/>
        <v>24000</v>
      </c>
    </row>
    <row r="21" spans="1:6" ht="20.25" x14ac:dyDescent="0.3">
      <c r="A21" s="5"/>
      <c r="B21" s="7"/>
      <c r="C21" s="2"/>
      <c r="D21" s="7"/>
      <c r="E21" s="7"/>
      <c r="F21" s="7"/>
    </row>
    <row r="22" spans="1:6" ht="20.25" x14ac:dyDescent="0.3">
      <c r="A22" s="8" t="s">
        <v>16</v>
      </c>
      <c r="B22" s="7"/>
      <c r="C22" s="2"/>
      <c r="D22" s="7"/>
      <c r="E22" s="7"/>
      <c r="F22" s="7"/>
    </row>
    <row r="23" spans="1:6" ht="20.25" x14ac:dyDescent="0.3">
      <c r="A23" s="5" t="str">
        <f>+A18</f>
        <v>Lotes 1 y 8</v>
      </c>
      <c r="B23" s="7" t="s">
        <v>17</v>
      </c>
      <c r="C23" s="2"/>
      <c r="D23" s="7"/>
      <c r="E23" s="7"/>
      <c r="F23" s="7"/>
    </row>
    <row r="24" spans="1:6" ht="20.25" x14ac:dyDescent="0.3">
      <c r="A24" s="5" t="s">
        <v>18</v>
      </c>
      <c r="B24" s="7">
        <f>+B18</f>
        <v>20000</v>
      </c>
      <c r="C24" s="2"/>
      <c r="D24" s="7">
        <f t="shared" ref="D24" si="6">+B24+2000</f>
        <v>22000</v>
      </c>
      <c r="E24" s="7">
        <f t="shared" ref="E24:F24" si="7">+D24+1000</f>
        <v>23000</v>
      </c>
      <c r="F24" s="7">
        <f t="shared" si="7"/>
        <v>24000</v>
      </c>
    </row>
    <row r="25" spans="1:6" ht="21" thickBot="1" x14ac:dyDescent="0.35">
      <c r="A25" s="5" t="s">
        <v>19</v>
      </c>
      <c r="B25" s="9" t="s">
        <v>17</v>
      </c>
      <c r="C25" s="2"/>
      <c r="D25" s="9"/>
      <c r="E25" s="9"/>
      <c r="F25" s="9"/>
    </row>
    <row r="26" spans="1:6" ht="18" x14ac:dyDescent="0.25">
      <c r="A26" s="2"/>
      <c r="B26" s="2"/>
      <c r="C26" s="2"/>
      <c r="D26" s="2"/>
    </row>
    <row r="27" spans="1:6" ht="18" x14ac:dyDescent="0.25">
      <c r="A27" s="2"/>
      <c r="B27" s="2"/>
      <c r="C27" s="2"/>
      <c r="D27" s="2"/>
    </row>
  </sheetData>
  <mergeCells count="1">
    <mergeCell ref="D5:F5"/>
  </mergeCells>
  <pageMargins left="0.31496062992125984" right="0.31496062992125984" top="1.1417322834645669" bottom="0.74803149606299213" header="0.31496062992125984" footer="0.31496062992125984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Gerardo Ernesto Fernández</cp:lastModifiedBy>
  <cp:lastPrinted>2026-08-24T19:48:48Z</cp:lastPrinted>
  <dcterms:created xsi:type="dcterms:W3CDTF">2023-09-12T13:34:08Z</dcterms:created>
  <dcterms:modified xsi:type="dcterms:W3CDTF">2026-08-24T19:49:15Z</dcterms:modified>
</cp:coreProperties>
</file>