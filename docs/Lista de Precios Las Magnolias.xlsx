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\Dropbox\Loteo Las Magnolias\Ventas y compra\"/>
    </mc:Choice>
  </mc:AlternateContent>
  <xr:revisionPtr revIDLastSave="0" documentId="13_ncr:1_{7DBD9B72-8260-4D11-A38D-6A95EBF914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igente" sheetId="1" r:id="rId1"/>
    <sheet name="Evolu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8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9" i="2"/>
  <c r="I21" i="2"/>
  <c r="I22" i="2" s="1"/>
  <c r="I23" i="2"/>
  <c r="C18" i="1"/>
  <c r="H20" i="2"/>
  <c r="H19" i="2"/>
  <c r="H15" i="2"/>
  <c r="H21" i="2" s="1"/>
  <c r="G20" i="2"/>
  <c r="G15" i="2"/>
  <c r="G21" i="2" s="1"/>
  <c r="G23" i="2" s="1"/>
  <c r="F15" i="2"/>
  <c r="F21" i="2" s="1"/>
  <c r="F23" i="2" s="1"/>
  <c r="F20" i="2"/>
  <c r="H22" i="2" l="1"/>
  <c r="H23" i="2"/>
  <c r="G22" i="2"/>
  <c r="D21" i="2"/>
  <c r="D22" i="2" s="1"/>
  <c r="D23" i="2" s="1"/>
  <c r="B8" i="2"/>
  <c r="C19" i="1" l="1"/>
  <c r="C20" i="1" s="1"/>
  <c r="D19" i="2"/>
  <c r="D13" i="2"/>
  <c r="D15" i="2" s="1"/>
</calcChain>
</file>

<file path=xl/sharedStrings.xml><?xml version="1.0" encoding="utf-8"?>
<sst xmlns="http://schemas.openxmlformats.org/spreadsheetml/2006/main" count="36" uniqueCount="28">
  <si>
    <t>Manzana 179 t</t>
  </si>
  <si>
    <t>Manzana 179 n</t>
  </si>
  <si>
    <t>Manzana 179 y</t>
  </si>
  <si>
    <t>LISTA DE PRECIOS (EN DÓLARES)</t>
  </si>
  <si>
    <t>Lotes 2, 3 y 12 a 16</t>
  </si>
  <si>
    <t>LAPRIDA Y PASEO DEL BOSQUE</t>
  </si>
  <si>
    <t xml:space="preserve">LOTEO LAS MAGNOLIAS </t>
  </si>
  <si>
    <t>Inicial</t>
  </si>
  <si>
    <t>Lote 10</t>
  </si>
  <si>
    <t>Lote 11</t>
  </si>
  <si>
    <t>Lotes 9 y 10</t>
  </si>
  <si>
    <t>Lotes 18,19 y 20</t>
  </si>
  <si>
    <t>Lotes 8 y 9</t>
  </si>
  <si>
    <t>Lotes 11, 12 y 15</t>
  </si>
  <si>
    <t xml:space="preserve">Lotes 1, 7, 11 y 17 </t>
  </si>
  <si>
    <t xml:space="preserve">Lotes 1, 7,10 y 16 </t>
  </si>
  <si>
    <t>Lotes 17 y 18</t>
  </si>
  <si>
    <t>Lotes 12 a 14</t>
  </si>
  <si>
    <t>Lotes 2 a 6</t>
  </si>
  <si>
    <t>Vigente a partir de</t>
  </si>
  <si>
    <t>Lotes 13 y 14</t>
  </si>
  <si>
    <t xml:space="preserve">Lote 17 </t>
  </si>
  <si>
    <t>Lotes  12, 15 y 16</t>
  </si>
  <si>
    <t>Lotes 18 a 20</t>
  </si>
  <si>
    <t xml:space="preserve">Lotes 1 y 17 </t>
  </si>
  <si>
    <t>Lotes 2 , 5 y 6</t>
  </si>
  <si>
    <t>Variac.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</si>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</sst>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1540A]d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1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" fontId="3" fillId="0" borderId="0" xfId="0" applyNumberFormat="1" applyFont="1"/>
    <xf numFmtId="0" fontId="2" fillId="0" borderId="2" xfId="0" applyFont="1" applyBorder="1"/>
    <xf numFmtId="164" fontId="2" fillId="0" borderId="2" xfId="1" applyNumberFormat="1" applyFont="1" applyBorder="1"/>
    <xf numFmtId="164" fontId="2" fillId="0" borderId="3" xfId="1" applyNumberFormat="1" applyFont="1" applyBorder="1"/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/>
    <xf numFmtId="0" fontId="2" fillId="2" borderId="3" xfId="0" applyFont="1" applyFill="1" applyBorder="1"/>
    <xf numFmtId="9" fontId="2" fillId="0" borderId="2" xfId="2" applyFont="1" applyBorder="1"/>
    <xf numFmtId="9" fontId="2" fillId="0" borderId="3" xfId="2" applyFont="1" applyBorder="1"/>
    <xf numFmtId="165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8" workbookViewId="0">
      <selection activeCell="J15" sqref="J15"/>
    </sheetView>
  </sheetViews>
  <sheetFormatPr baseColWidth="10" defaultRowHeight="18" x14ac:dyDescent="0.25"/>
  <cols>
    <col min="1" max="1" width="30" style="1" customWidth="1"/>
    <col min="2" max="2" width="13.85546875" style="1" customWidth="1"/>
    <col min="3" max="3" width="18.28515625" style="1" customWidth="1"/>
    <col min="4" max="16384" width="11.42578125" style="1"/>
  </cols>
  <sheetData>
    <row r="1" spans="1:3" ht="30" x14ac:dyDescent="0.4">
      <c r="A1" s="6" t="s">
        <v>6</v>
      </c>
      <c r="B1" s="6"/>
    </row>
    <row r="2" spans="1:3" ht="26.25" x14ac:dyDescent="0.4">
      <c r="A2" s="3" t="s">
        <v>5</v>
      </c>
      <c r="B2" s="3"/>
    </row>
    <row r="3" spans="1:3" ht="23.25" x14ac:dyDescent="0.35">
      <c r="A3" s="2" t="s">
        <v>3</v>
      </c>
      <c r="B3" s="2"/>
    </row>
    <row r="4" spans="1:3" ht="23.25" x14ac:dyDescent="0.35">
      <c r="A4" s="2" t="s">
        <v>19</v>
      </c>
      <c r="B4" s="9">
        <v>45659</v>
      </c>
    </row>
    <row r="5" spans="1:3" ht="23.25" x14ac:dyDescent="0.35">
      <c r="A5" s="2"/>
      <c r="B5" s="9"/>
    </row>
    <row r="7" spans="1:3" ht="23.25" x14ac:dyDescent="0.35">
      <c r="A7" s="4" t="s">
        <v>1</v>
      </c>
      <c r="B7" s="4"/>
    </row>
    <row r="8" spans="1:3" x14ac:dyDescent="0.25">
      <c r="A8" s="1" t="s">
        <v>20</v>
      </c>
      <c r="B8" s="1">
        <v>320</v>
      </c>
      <c r="C8" s="5">
        <v>19000</v>
      </c>
    </row>
    <row r="9" spans="1:3" x14ac:dyDescent="0.25">
      <c r="C9" s="5"/>
    </row>
    <row r="10" spans="1:3" x14ac:dyDescent="0.25">
      <c r="C10" s="5"/>
    </row>
    <row r="11" spans="1:3" ht="23.25" x14ac:dyDescent="0.35">
      <c r="A11" s="4" t="s">
        <v>0</v>
      </c>
      <c r="B11" s="4"/>
      <c r="C11" s="5"/>
    </row>
    <row r="12" spans="1:3" x14ac:dyDescent="0.25">
      <c r="A12" s="1" t="s">
        <v>22</v>
      </c>
      <c r="B12" s="1">
        <v>360</v>
      </c>
      <c r="C12" s="5">
        <v>21000</v>
      </c>
    </row>
    <row r="13" spans="1:3" x14ac:dyDescent="0.25">
      <c r="A13" s="1" t="s">
        <v>24</v>
      </c>
      <c r="B13" s="1">
        <v>300</v>
      </c>
      <c r="C13" s="5">
        <v>18500</v>
      </c>
    </row>
    <row r="14" spans="1:3" x14ac:dyDescent="0.25">
      <c r="A14" s="1" t="s">
        <v>23</v>
      </c>
      <c r="B14" s="1">
        <v>300</v>
      </c>
      <c r="C14" s="5">
        <v>18000</v>
      </c>
    </row>
    <row r="15" spans="1:3" x14ac:dyDescent="0.25">
      <c r="C15" s="5"/>
    </row>
    <row r="16" spans="1:3" ht="23.25" x14ac:dyDescent="0.35">
      <c r="A16" s="4" t="s">
        <v>2</v>
      </c>
      <c r="B16" s="4"/>
      <c r="C16" s="5"/>
    </row>
    <row r="17" spans="1:3" x14ac:dyDescent="0.25">
      <c r="A17" s="1" t="s">
        <v>12</v>
      </c>
      <c r="B17" s="1">
        <v>300</v>
      </c>
      <c r="C17" s="5">
        <v>17000</v>
      </c>
    </row>
    <row r="18" spans="1:3" x14ac:dyDescent="0.25">
      <c r="A18" s="1" t="s">
        <v>21</v>
      </c>
      <c r="B18" s="1">
        <v>300</v>
      </c>
      <c r="C18" s="5">
        <f>+C13</f>
        <v>18500</v>
      </c>
    </row>
    <row r="19" spans="1:3" x14ac:dyDescent="0.25">
      <c r="A19" s="1" t="s">
        <v>25</v>
      </c>
      <c r="B19" s="1">
        <v>306</v>
      </c>
      <c r="C19" s="5">
        <f>+C18</f>
        <v>18500</v>
      </c>
    </row>
    <row r="20" spans="1:3" x14ac:dyDescent="0.25">
      <c r="A20" s="1" t="s">
        <v>13</v>
      </c>
      <c r="B20" s="1">
        <v>306</v>
      </c>
      <c r="C20" s="5">
        <f>+C19+500</f>
        <v>19000</v>
      </c>
    </row>
  </sheetData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tabSelected="1" topLeftCell="A4" workbookViewId="0">
      <selection sqref="A1:K23"/>
    </sheetView>
  </sheetViews>
  <sheetFormatPr baseColWidth="10" defaultRowHeight="18" x14ac:dyDescent="0.25"/>
  <cols>
    <col min="1" max="1" width="30" style="1" customWidth="1"/>
    <col min="2" max="2" width="10.28515625" style="1" customWidth="1"/>
    <col min="3" max="3" width="18.28515625" style="1" customWidth="1"/>
    <col min="4" max="9" width="14.7109375" style="1" customWidth="1"/>
    <col min="10" max="16384" width="11.42578125" style="1"/>
  </cols>
  <sheetData>
    <row r="1" spans="1:11" ht="30" x14ac:dyDescent="0.4">
      <c r="A1" s="6" t="s">
        <v>6</v>
      </c>
      <c r="B1" s="6"/>
    </row>
    <row r="2" spans="1:11" ht="26.25" x14ac:dyDescent="0.4">
      <c r="A2" s="3" t="s">
        <v>5</v>
      </c>
      <c r="B2" s="3"/>
    </row>
    <row r="3" spans="1:11" ht="23.25" x14ac:dyDescent="0.35">
      <c r="A3" s="2" t="s">
        <v>3</v>
      </c>
      <c r="B3" s="2"/>
    </row>
    <row r="4" spans="1:11" ht="24" thickBot="1" x14ac:dyDescent="0.4">
      <c r="A4" s="2"/>
      <c r="B4" s="2"/>
    </row>
    <row r="5" spans="1:11" x14ac:dyDescent="0.25">
      <c r="C5" s="13" t="s">
        <v>7</v>
      </c>
      <c r="D5" s="14">
        <v>45307</v>
      </c>
      <c r="E5" s="14">
        <v>45331</v>
      </c>
      <c r="F5" s="14">
        <v>45377</v>
      </c>
      <c r="G5" s="14">
        <v>45475</v>
      </c>
      <c r="H5" s="14">
        <v>45571</v>
      </c>
      <c r="I5" s="14">
        <v>45659</v>
      </c>
      <c r="K5" s="18" t="s">
        <v>26</v>
      </c>
    </row>
    <row r="6" spans="1:11" ht="18.75" thickBot="1" x14ac:dyDescent="0.3">
      <c r="A6" s="7" t="s">
        <v>1</v>
      </c>
      <c r="B6" s="7"/>
      <c r="C6" s="15"/>
      <c r="D6" s="15"/>
      <c r="E6" s="15"/>
      <c r="F6" s="15"/>
      <c r="G6" s="15"/>
      <c r="H6" s="15"/>
      <c r="I6" s="15"/>
      <c r="K6" s="19" t="s">
        <v>27</v>
      </c>
    </row>
    <row r="7" spans="1:11" x14ac:dyDescent="0.25">
      <c r="A7" s="1" t="s">
        <v>8</v>
      </c>
      <c r="B7" s="1">
        <v>308</v>
      </c>
      <c r="C7" s="11">
        <v>12000</v>
      </c>
      <c r="D7" s="11">
        <v>12000</v>
      </c>
      <c r="E7" s="11">
        <v>12000</v>
      </c>
      <c r="F7" s="11">
        <v>0</v>
      </c>
      <c r="G7" s="11">
        <v>0</v>
      </c>
      <c r="H7" s="11"/>
      <c r="I7" s="11"/>
      <c r="K7" s="16">
        <f t="shared" ref="K7:K8" si="0">IF(I7=0,0,+I7/C7-1)</f>
        <v>0</v>
      </c>
    </row>
    <row r="8" spans="1:11" x14ac:dyDescent="0.25">
      <c r="A8" s="1" t="s">
        <v>9</v>
      </c>
      <c r="B8" s="8">
        <f>320+12*8</f>
        <v>416</v>
      </c>
      <c r="C8" s="11"/>
      <c r="D8" s="11"/>
      <c r="E8" s="11">
        <v>16000</v>
      </c>
      <c r="F8" s="11">
        <v>18000</v>
      </c>
      <c r="G8" s="11">
        <v>0</v>
      </c>
      <c r="H8" s="11"/>
      <c r="I8" s="11"/>
      <c r="K8" s="16">
        <f t="shared" si="0"/>
        <v>0</v>
      </c>
    </row>
    <row r="9" spans="1:11" x14ac:dyDescent="0.25">
      <c r="A9" s="1" t="s">
        <v>17</v>
      </c>
      <c r="B9" s="1">
        <v>320</v>
      </c>
      <c r="C9" s="11">
        <v>12000</v>
      </c>
      <c r="D9" s="11">
        <v>12500</v>
      </c>
      <c r="E9" s="11">
        <v>13500</v>
      </c>
      <c r="F9" s="11">
        <v>15000</v>
      </c>
      <c r="G9" s="11">
        <v>17000</v>
      </c>
      <c r="H9" s="11">
        <v>18500</v>
      </c>
      <c r="I9" s="11">
        <v>19000</v>
      </c>
      <c r="K9" s="16">
        <f>IF(I9=0,0,+I9/C9-1)</f>
        <v>0.58333333333333326</v>
      </c>
    </row>
    <row r="10" spans="1:11" x14ac:dyDescent="0.25">
      <c r="C10" s="11"/>
      <c r="D10" s="11"/>
      <c r="E10" s="11"/>
      <c r="F10" s="11"/>
      <c r="G10" s="11"/>
      <c r="H10" s="11"/>
      <c r="I10" s="11"/>
      <c r="K10" s="16">
        <f t="shared" ref="K10:K23" si="1">IF(I10=0,0,+I10/C10-1)</f>
        <v>0</v>
      </c>
    </row>
    <row r="11" spans="1:11" x14ac:dyDescent="0.25">
      <c r="A11" s="7" t="s">
        <v>0</v>
      </c>
      <c r="B11" s="7"/>
      <c r="C11" s="11"/>
      <c r="D11" s="11"/>
      <c r="E11" s="11"/>
      <c r="F11" s="11"/>
      <c r="G11" s="11"/>
      <c r="H11" s="11"/>
      <c r="I11" s="11"/>
      <c r="K11" s="16">
        <f t="shared" si="1"/>
        <v>0</v>
      </c>
    </row>
    <row r="12" spans="1:11" x14ac:dyDescent="0.25">
      <c r="A12" s="1" t="s">
        <v>4</v>
      </c>
      <c r="B12" s="1">
        <v>360</v>
      </c>
      <c r="C12" s="11">
        <v>14500</v>
      </c>
      <c r="D12" s="11">
        <v>15000</v>
      </c>
      <c r="E12" s="11">
        <v>15000</v>
      </c>
      <c r="F12" s="11">
        <v>17000</v>
      </c>
      <c r="G12" s="11">
        <v>19000</v>
      </c>
      <c r="H12" s="11">
        <v>20000</v>
      </c>
      <c r="I12" s="11">
        <v>21000</v>
      </c>
      <c r="K12" s="16">
        <f t="shared" si="1"/>
        <v>0.44827586206896552</v>
      </c>
    </row>
    <row r="13" spans="1:11" x14ac:dyDescent="0.25">
      <c r="A13" s="1" t="s">
        <v>14</v>
      </c>
      <c r="B13" s="1">
        <v>295</v>
      </c>
      <c r="C13" s="11">
        <v>12000</v>
      </c>
      <c r="D13" s="11">
        <f>+D7</f>
        <v>12000</v>
      </c>
      <c r="E13" s="11">
        <v>13000</v>
      </c>
      <c r="F13" s="11">
        <v>14500</v>
      </c>
      <c r="G13" s="11">
        <v>15500</v>
      </c>
      <c r="H13" s="11">
        <v>17000</v>
      </c>
      <c r="I13" s="11">
        <v>18500</v>
      </c>
      <c r="K13" s="16">
        <f t="shared" si="1"/>
        <v>0.54166666666666674</v>
      </c>
    </row>
    <row r="14" spans="1:11" x14ac:dyDescent="0.25">
      <c r="A14" s="1" t="s">
        <v>10</v>
      </c>
      <c r="B14" s="1">
        <v>300</v>
      </c>
      <c r="C14" s="11">
        <v>11500</v>
      </c>
      <c r="D14" s="11">
        <v>12000</v>
      </c>
      <c r="E14" s="11">
        <v>12000</v>
      </c>
      <c r="F14" s="11">
        <v>13000</v>
      </c>
      <c r="G14" s="11">
        <v>15000</v>
      </c>
      <c r="H14" s="11">
        <v>16500</v>
      </c>
      <c r="I14" s="11"/>
      <c r="K14" s="16">
        <f t="shared" si="1"/>
        <v>0</v>
      </c>
    </row>
    <row r="15" spans="1:11" x14ac:dyDescent="0.25">
      <c r="A15" s="1" t="s">
        <v>11</v>
      </c>
      <c r="B15" s="1">
        <v>300</v>
      </c>
      <c r="C15" s="11">
        <v>11500</v>
      </c>
      <c r="D15" s="11">
        <f>+D13</f>
        <v>12000</v>
      </c>
      <c r="E15" s="11">
        <v>12500</v>
      </c>
      <c r="F15" s="11">
        <f>+F13</f>
        <v>14500</v>
      </c>
      <c r="G15" s="11">
        <f>+G13</f>
        <v>15500</v>
      </c>
      <c r="H15" s="11">
        <f>+H13</f>
        <v>17000</v>
      </c>
      <c r="I15" s="11">
        <v>18000</v>
      </c>
      <c r="K15" s="16">
        <f t="shared" si="1"/>
        <v>0.56521739130434789</v>
      </c>
    </row>
    <row r="16" spans="1:11" x14ac:dyDescent="0.25">
      <c r="C16" s="11"/>
      <c r="D16" s="10"/>
      <c r="E16" s="10"/>
      <c r="F16" s="10"/>
      <c r="G16" s="10"/>
      <c r="H16" s="10"/>
      <c r="I16" s="10"/>
      <c r="K16" s="16">
        <f t="shared" si="1"/>
        <v>0</v>
      </c>
    </row>
    <row r="17" spans="1:11" x14ac:dyDescent="0.25">
      <c r="C17" s="11"/>
      <c r="D17" s="11"/>
      <c r="E17" s="11"/>
      <c r="F17" s="11"/>
      <c r="G17" s="11"/>
      <c r="H17" s="11"/>
      <c r="I17" s="11"/>
      <c r="K17" s="16">
        <f t="shared" si="1"/>
        <v>0</v>
      </c>
    </row>
    <row r="18" spans="1:11" x14ac:dyDescent="0.25">
      <c r="A18" s="7" t="s">
        <v>2</v>
      </c>
      <c r="B18" s="7"/>
      <c r="C18" s="11"/>
      <c r="D18" s="11"/>
      <c r="E18" s="11"/>
      <c r="F18" s="11"/>
      <c r="G18" s="11"/>
      <c r="H18" s="11"/>
      <c r="I18" s="11"/>
      <c r="K18" s="16">
        <f t="shared" si="1"/>
        <v>0</v>
      </c>
    </row>
    <row r="19" spans="1:11" x14ac:dyDescent="0.25">
      <c r="A19" s="1" t="s">
        <v>15</v>
      </c>
      <c r="B19" s="1">
        <v>333</v>
      </c>
      <c r="C19" s="11">
        <v>12500</v>
      </c>
      <c r="D19" s="11">
        <f>+D9+500</f>
        <v>13000</v>
      </c>
      <c r="E19" s="11">
        <v>14000</v>
      </c>
      <c r="F19" s="11">
        <v>16000</v>
      </c>
      <c r="G19" s="11">
        <v>17000</v>
      </c>
      <c r="H19" s="11">
        <f>+H9</f>
        <v>18500</v>
      </c>
      <c r="I19" s="11"/>
      <c r="K19" s="16">
        <f t="shared" si="1"/>
        <v>0</v>
      </c>
    </row>
    <row r="20" spans="1:11" x14ac:dyDescent="0.25">
      <c r="A20" s="1" t="s">
        <v>12</v>
      </c>
      <c r="B20" s="1">
        <v>300</v>
      </c>
      <c r="C20" s="11">
        <v>11500</v>
      </c>
      <c r="D20" s="11">
        <v>12000</v>
      </c>
      <c r="E20" s="11">
        <v>12000</v>
      </c>
      <c r="F20" s="11">
        <f t="shared" ref="F20:H21" si="2">+F14</f>
        <v>13000</v>
      </c>
      <c r="G20" s="11">
        <f t="shared" si="2"/>
        <v>15000</v>
      </c>
      <c r="H20" s="11">
        <f t="shared" si="2"/>
        <v>16500</v>
      </c>
      <c r="I20" s="11">
        <v>17000</v>
      </c>
      <c r="K20" s="16">
        <f t="shared" si="1"/>
        <v>0.47826086956521729</v>
      </c>
    </row>
    <row r="21" spans="1:11" x14ac:dyDescent="0.25">
      <c r="A21" s="1" t="s">
        <v>16</v>
      </c>
      <c r="B21" s="1">
        <v>300</v>
      </c>
      <c r="C21" s="11">
        <v>11500</v>
      </c>
      <c r="D21" s="11">
        <f>+D20</f>
        <v>12000</v>
      </c>
      <c r="E21" s="11">
        <v>12500</v>
      </c>
      <c r="F21" s="11">
        <f t="shared" si="2"/>
        <v>14500</v>
      </c>
      <c r="G21" s="11">
        <f t="shared" si="2"/>
        <v>15500</v>
      </c>
      <c r="H21" s="11">
        <f t="shared" si="2"/>
        <v>17000</v>
      </c>
      <c r="I21" s="11">
        <f>+I13</f>
        <v>18500</v>
      </c>
      <c r="K21" s="16">
        <f t="shared" si="1"/>
        <v>0.60869565217391308</v>
      </c>
    </row>
    <row r="22" spans="1:11" x14ac:dyDescent="0.25">
      <c r="A22" s="1" t="s">
        <v>18</v>
      </c>
      <c r="B22" s="1">
        <v>306</v>
      </c>
      <c r="C22" s="11">
        <v>11500</v>
      </c>
      <c r="D22" s="11">
        <f>+D21</f>
        <v>12000</v>
      </c>
      <c r="E22" s="11">
        <v>12000</v>
      </c>
      <c r="F22" s="11">
        <v>14000</v>
      </c>
      <c r="G22" s="11">
        <f>+G21</f>
        <v>15500</v>
      </c>
      <c r="H22" s="11">
        <f>+H21</f>
        <v>17000</v>
      </c>
      <c r="I22" s="11">
        <f>+I21</f>
        <v>18500</v>
      </c>
      <c r="K22" s="16">
        <f t="shared" si="1"/>
        <v>0.60869565217391308</v>
      </c>
    </row>
    <row r="23" spans="1:11" ht="18.75" thickBot="1" x14ac:dyDescent="0.3">
      <c r="A23" s="1" t="s">
        <v>13</v>
      </c>
      <c r="B23" s="1">
        <v>306</v>
      </c>
      <c r="C23" s="12">
        <v>11500</v>
      </c>
      <c r="D23" s="12">
        <f>+D22</f>
        <v>12000</v>
      </c>
      <c r="E23" s="12">
        <v>12500</v>
      </c>
      <c r="F23" s="12">
        <f>+F21</f>
        <v>14500</v>
      </c>
      <c r="G23" s="12">
        <f>+G21</f>
        <v>15500</v>
      </c>
      <c r="H23" s="12">
        <f>+H21</f>
        <v>17000</v>
      </c>
      <c r="I23" s="12">
        <f>+I9</f>
        <v>19000</v>
      </c>
      <c r="K23" s="17">
        <f t="shared" si="1"/>
        <v>0.65217391304347827</v>
      </c>
    </row>
  </sheetData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Vigente</vt:lpstr>
      <vt:lpstr>Evolución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Gerardo Ernesto Fernández</cp:lastModifiedBy>
  <cp:lastPrinted>2025-02-27T22:51:42Z</cp:lastPrinted>
  <dcterms:created xsi:type="dcterms:W3CDTF">2023-03-26T12:03:32Z</dcterms:created>
  <dcterms:modified xsi:type="dcterms:W3CDTF">2025-02-27T22:52:11Z</dcterms:modified>
</cp:coreProperties>
</file>