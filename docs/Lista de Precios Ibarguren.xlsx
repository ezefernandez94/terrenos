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\Dropbox\Loteo Ibarguren\VENTAS\"/>
    </mc:Choice>
  </mc:AlternateContent>
  <xr:revisionPtr revIDLastSave="0" documentId="13_ncr:1_{F24C095E-E987-4F77-8FF8-8A2CC7958A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igente" sheetId="1" r:id="rId1"/>
    <sheet name="Evolu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6" i="1"/>
  <c r="H15" i="1"/>
  <c r="H14" i="1"/>
  <c r="H10" i="1"/>
  <c r="H11" i="1"/>
  <c r="H9" i="1"/>
  <c r="F10" i="1" l="1"/>
  <c r="G10" i="1" s="1"/>
  <c r="F11" i="1"/>
  <c r="G11" i="1" s="1"/>
  <c r="F9" i="1"/>
  <c r="G9" i="1" s="1"/>
  <c r="D16" i="1" l="1"/>
  <c r="F16" i="1" s="1"/>
  <c r="G16" i="1" s="1"/>
  <c r="D15" i="1"/>
  <c r="F15" i="1" s="1"/>
  <c r="G15" i="1" s="1"/>
  <c r="D14" i="1"/>
  <c r="F14" i="1" s="1"/>
  <c r="G14" i="1" s="1"/>
  <c r="D19" i="1" l="1"/>
  <c r="F19" i="1" s="1"/>
  <c r="G19" i="1" s="1"/>
  <c r="D20" i="1"/>
  <c r="F20" i="1" s="1"/>
  <c r="G20" i="1" s="1"/>
  <c r="L23" i="2"/>
  <c r="L21" i="2"/>
  <c r="L22" i="2" s="1"/>
  <c r="C22" i="2" l="1"/>
  <c r="C23" i="2" s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7" i="2"/>
  <c r="K23" i="2"/>
  <c r="K21" i="2"/>
  <c r="K22" i="2" s="1"/>
  <c r="J21" i="2"/>
  <c r="J22" i="2" s="1"/>
  <c r="J23" i="2"/>
  <c r="I20" i="2"/>
  <c r="I19" i="2"/>
  <c r="I15" i="2"/>
  <c r="I21" i="2" s="1"/>
  <c r="H20" i="2"/>
  <c r="H15" i="2"/>
  <c r="H21" i="2" s="1"/>
  <c r="H23" i="2" s="1"/>
  <c r="G15" i="2"/>
  <c r="G21" i="2" s="1"/>
  <c r="G23" i="2" s="1"/>
  <c r="G20" i="2"/>
  <c r="N23" i="2" l="1"/>
  <c r="N22" i="2"/>
  <c r="N21" i="2"/>
  <c r="I22" i="2"/>
  <c r="I23" i="2"/>
  <c r="H22" i="2"/>
  <c r="E21" i="2"/>
  <c r="E22" i="2" s="1"/>
  <c r="E23" i="2" s="1"/>
  <c r="B8" i="2"/>
  <c r="E19" i="2" l="1"/>
  <c r="E13" i="2"/>
  <c r="E15" i="2" s="1"/>
</calcChain>
</file>

<file path=xl/sharedStrings.xml><?xml version="1.0" encoding="utf-8"?>
<sst xmlns="http://schemas.openxmlformats.org/spreadsheetml/2006/main" count="42" uniqueCount="38">
  <si>
    <t>Manzana 179 t</t>
  </si>
  <si>
    <t>Manzana 179 n</t>
  </si>
  <si>
    <t>Manzana 179 y</t>
  </si>
  <si>
    <t>LISTA DE PRECIOS (EN DÓLARES)</t>
  </si>
  <si>
    <t>Lotes 2, 3 y 12 a 16</t>
  </si>
  <si>
    <t>LAPRIDA Y PASEO DEL BOSQUE</t>
  </si>
  <si>
    <t xml:space="preserve">LOTEO LAS MAGNOLIAS </t>
  </si>
  <si>
    <t>Inicial</t>
  </si>
  <si>
    <t>Lote 10</t>
  </si>
  <si>
    <t>Lote 11</t>
  </si>
  <si>
    <t>Lotes 9 y 10</t>
  </si>
  <si>
    <t>Lotes 18,19 y 20</t>
  </si>
  <si>
    <t>Lotes 8 y 9</t>
  </si>
  <si>
    <t>Lotes 11, 12 y 15</t>
  </si>
  <si>
    <t xml:space="preserve">Lotes 1, 7, 11 y 17 </t>
  </si>
  <si>
    <t xml:space="preserve">Lotes 1, 7,10 y 16 </t>
  </si>
  <si>
    <t>Lotes 17 y 18</t>
  </si>
  <si>
    <t>Lotes 12 a 14</t>
  </si>
  <si>
    <t>Lotes 2 a 6</t>
  </si>
  <si>
    <t>Vigente a partir de</t>
  </si>
  <si>
    <t>Variac.</t>
  </si>
  <si>
    <t>inicio</t>
  </si>
  <si>
    <t>M2</t>
  </si>
  <si>
    <t>24 cuotas</t>
  </si>
  <si>
    <t>36 cuotas</t>
  </si>
  <si>
    <t>48 cuotas</t>
  </si>
  <si>
    <t>Contado</t>
  </si>
  <si>
    <t>IBARGUREN Y LA LIMPIA</t>
  </si>
  <si>
    <t>Manzana 8ae</t>
  </si>
  <si>
    <t>Manzana 8ag</t>
  </si>
  <si>
    <t>Manzana 8ac</t>
  </si>
  <si>
    <t>Lotes 7 y 14</t>
  </si>
  <si>
    <t>Resto de los lotes</t>
  </si>
  <si>
    <t>Lotes 1, 6, 8 y 13</t>
  </si>
  <si>
    <t>Lotes 10, 11, 1n y 1m</t>
  </si>
  <si>
    <t>Lotes  1c a 1k</t>
  </si>
  <si>
    <t>Al boleto mínimo 20%</t>
  </si>
  <si>
    <t>LOTEO IBARGUREN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</si>
</sst>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1540A]dd\-mmm\-yy;@"/>
    <numFmt numFmtId="166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" fontId="3" fillId="0" borderId="0" xfId="0" applyNumberFormat="1" applyFont="1"/>
    <xf numFmtId="0" fontId="2" fillId="0" borderId="2" xfId="0" applyFont="1" applyBorder="1"/>
    <xf numFmtId="164" fontId="2" fillId="0" borderId="2" xfId="1" applyNumberFormat="1" applyFont="1" applyBorder="1"/>
    <xf numFmtId="164" fontId="2" fillId="0" borderId="3" xfId="1" applyNumberFormat="1" applyFont="1" applyBorder="1"/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/>
    <xf numFmtId="0" fontId="2" fillId="2" borderId="3" xfId="0" applyFont="1" applyFill="1" applyBorder="1"/>
    <xf numFmtId="9" fontId="2" fillId="0" borderId="2" xfId="2" applyFont="1" applyBorder="1"/>
    <xf numFmtId="9" fontId="2" fillId="0" borderId="3" xfId="2" applyFont="1" applyBorder="1"/>
    <xf numFmtId="165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5" fontId="8" fillId="2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0" borderId="5" xfId="0" applyFont="1" applyBorder="1"/>
    <xf numFmtId="164" fontId="2" fillId="0" borderId="5" xfId="1" applyNumberFormat="1" applyFont="1" applyBorder="1"/>
    <xf numFmtId="166" fontId="3" fillId="0" borderId="0" xfId="0" applyNumberFormat="1" applyFont="1"/>
    <xf numFmtId="0" fontId="2" fillId="3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6" xfId="1" applyNumberFormat="1" applyFont="1" applyBorder="1"/>
    <xf numFmtId="0" fontId="2" fillId="3" borderId="4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5" fillId="0" borderId="1" xfId="0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0" xfId="0" applyNumberFormat="1" applyFo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topLeftCell="A3" workbookViewId="0">
      <selection activeCell="G11" sqref="G11"/>
    </sheetView>
  </sheetViews>
  <sheetFormatPr baseColWidth="10" defaultColWidth="11.42578125" defaultRowHeight="18" x14ac:dyDescent="0.25"/>
  <cols>
    <col min="1" max="1" width="30" style="1" customWidth="1"/>
    <col min="2" max="2" width="7.42578125" style="1" customWidth="1"/>
    <col min="3" max="3" width="2.7109375" style="1" customWidth="1"/>
    <col min="4" max="4" width="18.28515625" style="1" customWidth="1"/>
    <col min="5" max="5" width="2.7109375" style="1" customWidth="1"/>
    <col min="6" max="8" width="18.28515625" style="1" customWidth="1"/>
    <col min="9" max="9" width="11.42578125" style="1"/>
    <col min="10" max="10" width="13" style="1" bestFit="1" customWidth="1"/>
    <col min="11" max="16384" width="11.42578125" style="1"/>
  </cols>
  <sheetData>
    <row r="1" spans="1:10" ht="30" x14ac:dyDescent="0.4">
      <c r="A1" s="5" t="s">
        <v>37</v>
      </c>
      <c r="B1" s="5"/>
      <c r="C1" s="5"/>
      <c r="D1" s="5"/>
      <c r="E1" s="5"/>
    </row>
    <row r="2" spans="1:10" ht="26.25" x14ac:dyDescent="0.4">
      <c r="A2" s="3" t="s">
        <v>27</v>
      </c>
      <c r="B2" s="3"/>
      <c r="C2" s="3"/>
      <c r="D2" s="3"/>
      <c r="E2" s="3"/>
    </row>
    <row r="3" spans="1:10" ht="23.25" x14ac:dyDescent="0.35">
      <c r="A3" s="2" t="s">
        <v>3</v>
      </c>
      <c r="B3" s="2"/>
      <c r="C3" s="2"/>
      <c r="D3" s="2"/>
      <c r="E3" s="2"/>
    </row>
    <row r="4" spans="1:10" ht="23.25" x14ac:dyDescent="0.35">
      <c r="A4" s="2" t="s">
        <v>19</v>
      </c>
      <c r="D4" s="23">
        <v>46206</v>
      </c>
      <c r="G4" s="23"/>
      <c r="H4" s="23"/>
    </row>
    <row r="5" spans="1:10" ht="24" thickBot="1" x14ac:dyDescent="0.4">
      <c r="A5" s="2"/>
      <c r="B5" s="8"/>
      <c r="C5" s="8"/>
      <c r="D5" s="8"/>
      <c r="E5" s="8"/>
    </row>
    <row r="6" spans="1:10" ht="18.75" thickBot="1" x14ac:dyDescent="0.3">
      <c r="B6" s="20" t="s">
        <v>22</v>
      </c>
      <c r="C6" s="25"/>
      <c r="D6" s="12" t="s">
        <v>26</v>
      </c>
      <c r="E6" s="28"/>
      <c r="F6" s="33" t="s">
        <v>36</v>
      </c>
      <c r="G6" s="34"/>
      <c r="H6" s="34"/>
    </row>
    <row r="7" spans="1:10" ht="18.75" thickBot="1" x14ac:dyDescent="0.3">
      <c r="B7" s="24"/>
      <c r="C7" s="25"/>
      <c r="D7" s="18"/>
      <c r="E7" s="25"/>
      <c r="F7" s="27" t="s">
        <v>23</v>
      </c>
      <c r="G7" s="27" t="s">
        <v>24</v>
      </c>
      <c r="H7" s="27" t="s">
        <v>25</v>
      </c>
    </row>
    <row r="8" spans="1:10" ht="23.25" x14ac:dyDescent="0.35">
      <c r="A8" s="4" t="s">
        <v>28</v>
      </c>
      <c r="B8" s="4"/>
      <c r="C8" s="4"/>
      <c r="D8" s="29"/>
      <c r="E8" s="4"/>
      <c r="F8" s="9"/>
      <c r="G8" s="21"/>
      <c r="H8" s="21"/>
    </row>
    <row r="9" spans="1:10" x14ac:dyDescent="0.25">
      <c r="A9" s="1" t="s">
        <v>32</v>
      </c>
      <c r="B9" s="1">
        <v>328</v>
      </c>
      <c r="D9" s="30">
        <v>16000</v>
      </c>
      <c r="F9" s="10">
        <f>+D9+1600</f>
        <v>17600</v>
      </c>
      <c r="G9" s="22">
        <f t="shared" ref="G9:G11" si="0">+F9+800</f>
        <v>18400</v>
      </c>
      <c r="H9" s="22">
        <f>+G9+1000</f>
        <v>19400</v>
      </c>
    </row>
    <row r="10" spans="1:10" x14ac:dyDescent="0.25">
      <c r="A10" s="1" t="s">
        <v>33</v>
      </c>
      <c r="B10" s="1">
        <v>356</v>
      </c>
      <c r="D10" s="30">
        <v>16500</v>
      </c>
      <c r="F10" s="10">
        <f>+D10+1600</f>
        <v>18100</v>
      </c>
      <c r="G10" s="22">
        <f t="shared" si="0"/>
        <v>18900</v>
      </c>
      <c r="H10" s="22">
        <f t="shared" ref="H10:H11" si="1">+G10+1000</f>
        <v>19900</v>
      </c>
      <c r="J10" s="32"/>
    </row>
    <row r="11" spans="1:10" x14ac:dyDescent="0.25">
      <c r="A11" s="1" t="s">
        <v>31</v>
      </c>
      <c r="B11" s="1">
        <v>436</v>
      </c>
      <c r="D11" s="30">
        <v>17500</v>
      </c>
      <c r="F11" s="10">
        <f>+D11+1600</f>
        <v>19100</v>
      </c>
      <c r="G11" s="22">
        <f t="shared" si="0"/>
        <v>19900</v>
      </c>
      <c r="H11" s="22">
        <f t="shared" si="1"/>
        <v>20900</v>
      </c>
    </row>
    <row r="12" spans="1:10" x14ac:dyDescent="0.25">
      <c r="D12" s="30"/>
      <c r="F12" s="10"/>
      <c r="G12" s="22"/>
      <c r="H12" s="22"/>
    </row>
    <row r="13" spans="1:10" ht="23.25" x14ac:dyDescent="0.35">
      <c r="A13" s="4" t="s">
        <v>29</v>
      </c>
      <c r="B13" s="4"/>
      <c r="C13" s="4"/>
      <c r="D13" s="30"/>
      <c r="E13" s="4"/>
      <c r="F13" s="10"/>
      <c r="G13" s="22"/>
      <c r="H13" s="22"/>
    </row>
    <row r="14" spans="1:10" x14ac:dyDescent="0.25">
      <c r="A14" s="1" t="s">
        <v>32</v>
      </c>
      <c r="B14" s="1">
        <v>330</v>
      </c>
      <c r="D14" s="30">
        <f>+D9</f>
        <v>16000</v>
      </c>
      <c r="F14" s="10">
        <f>+D14+1600</f>
        <v>17600</v>
      </c>
      <c r="G14" s="22">
        <f t="shared" ref="G14:G16" si="2">+F14+800</f>
        <v>18400</v>
      </c>
      <c r="H14" s="22">
        <f t="shared" ref="H14:H16" si="3">+G14+1000</f>
        <v>19400</v>
      </c>
    </row>
    <row r="15" spans="1:10" x14ac:dyDescent="0.25">
      <c r="A15" s="1" t="s">
        <v>33</v>
      </c>
      <c r="B15" s="1">
        <v>357</v>
      </c>
      <c r="D15" s="30">
        <f>+D10</f>
        <v>16500</v>
      </c>
      <c r="F15" s="10">
        <f>+D15+1600</f>
        <v>18100</v>
      </c>
      <c r="G15" s="22">
        <f t="shared" si="2"/>
        <v>18900</v>
      </c>
      <c r="H15" s="22">
        <f t="shared" si="3"/>
        <v>19900</v>
      </c>
    </row>
    <row r="16" spans="1:10" x14ac:dyDescent="0.25">
      <c r="A16" s="1" t="s">
        <v>31</v>
      </c>
      <c r="B16" s="1">
        <v>435</v>
      </c>
      <c r="D16" s="30">
        <f>+D11</f>
        <v>17500</v>
      </c>
      <c r="F16" s="10">
        <f>+D16+1600</f>
        <v>19100</v>
      </c>
      <c r="G16" s="22">
        <f t="shared" si="2"/>
        <v>19900</v>
      </c>
      <c r="H16" s="22">
        <f t="shared" si="3"/>
        <v>20900</v>
      </c>
    </row>
    <row r="17" spans="1:8" x14ac:dyDescent="0.25">
      <c r="D17" s="30"/>
      <c r="F17" s="10"/>
      <c r="G17" s="22"/>
      <c r="H17" s="22"/>
    </row>
    <row r="18" spans="1:8" ht="23.25" x14ac:dyDescent="0.35">
      <c r="A18" s="4" t="s">
        <v>30</v>
      </c>
      <c r="B18" s="4"/>
      <c r="C18" s="4"/>
      <c r="D18" s="30"/>
      <c r="E18" s="4"/>
      <c r="F18" s="10"/>
      <c r="G18" s="22"/>
      <c r="H18" s="22"/>
    </row>
    <row r="19" spans="1:8" x14ac:dyDescent="0.25">
      <c r="A19" s="1" t="s">
        <v>35</v>
      </c>
      <c r="B19" s="1">
        <v>359</v>
      </c>
      <c r="D19" s="30">
        <f>+D15</f>
        <v>16500</v>
      </c>
      <c r="F19" s="10">
        <f>+D19+1600</f>
        <v>18100</v>
      </c>
      <c r="G19" s="22">
        <f t="shared" ref="G19:G20" si="4">+F19+800</f>
        <v>18900</v>
      </c>
      <c r="H19" s="22">
        <f t="shared" ref="H19:H20" si="5">+G19+1000</f>
        <v>19900</v>
      </c>
    </row>
    <row r="20" spans="1:8" x14ac:dyDescent="0.25">
      <c r="A20" s="1" t="s">
        <v>34</v>
      </c>
      <c r="B20" s="1">
        <v>433</v>
      </c>
      <c r="D20" s="30">
        <f>+D16</f>
        <v>17500</v>
      </c>
      <c r="F20" s="10">
        <f>+D20+1600</f>
        <v>19100</v>
      </c>
      <c r="G20" s="22">
        <f t="shared" si="4"/>
        <v>19900</v>
      </c>
      <c r="H20" s="22">
        <f t="shared" si="5"/>
        <v>20900</v>
      </c>
    </row>
    <row r="21" spans="1:8" ht="18.75" thickBot="1" x14ac:dyDescent="0.3">
      <c r="D21" s="31"/>
      <c r="F21" s="11"/>
      <c r="G21" s="26"/>
      <c r="H21" s="26"/>
    </row>
  </sheetData>
  <mergeCells count="1">
    <mergeCell ref="F6:H6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topLeftCell="B4" workbookViewId="0">
      <selection activeCell="K9" sqref="K9"/>
    </sheetView>
  </sheetViews>
  <sheetFormatPr baseColWidth="10" defaultColWidth="11.42578125" defaultRowHeight="18" x14ac:dyDescent="0.25"/>
  <cols>
    <col min="1" max="1" width="30" style="1" customWidth="1"/>
    <col min="2" max="2" width="10.28515625" style="1" customWidth="1"/>
    <col min="3" max="4" width="18.28515625" style="1" customWidth="1"/>
    <col min="5" max="12" width="14.7109375" style="1" customWidth="1"/>
    <col min="13" max="13" width="4.5703125" style="1" customWidth="1"/>
    <col min="14" max="16384" width="11.42578125" style="1"/>
  </cols>
  <sheetData>
    <row r="1" spans="1:14" ht="30" x14ac:dyDescent="0.4">
      <c r="A1" s="5" t="s">
        <v>6</v>
      </c>
      <c r="B1" s="5"/>
    </row>
    <row r="2" spans="1:14" ht="26.25" x14ac:dyDescent="0.4">
      <c r="A2" s="3" t="s">
        <v>5</v>
      </c>
      <c r="B2" s="3"/>
    </row>
    <row r="3" spans="1:14" ht="23.25" x14ac:dyDescent="0.35">
      <c r="A3" s="2" t="s">
        <v>3</v>
      </c>
      <c r="B3" s="2"/>
    </row>
    <row r="4" spans="1:14" ht="24" thickBot="1" x14ac:dyDescent="0.4">
      <c r="A4" s="2"/>
      <c r="B4" s="2"/>
    </row>
    <row r="5" spans="1:14" x14ac:dyDescent="0.25">
      <c r="C5" s="12" t="s">
        <v>7</v>
      </c>
      <c r="D5" s="19">
        <v>45047</v>
      </c>
      <c r="E5" s="13">
        <v>45307</v>
      </c>
      <c r="F5" s="13">
        <v>45331</v>
      </c>
      <c r="G5" s="13">
        <v>45377</v>
      </c>
      <c r="H5" s="13">
        <v>45475</v>
      </c>
      <c r="I5" s="13">
        <v>45571</v>
      </c>
      <c r="J5" s="13">
        <v>45659</v>
      </c>
      <c r="K5" s="13">
        <v>45775</v>
      </c>
      <c r="L5" s="13">
        <v>46024</v>
      </c>
      <c r="N5" s="17" t="s">
        <v>20</v>
      </c>
    </row>
    <row r="6" spans="1:14" ht="18.75" thickBot="1" x14ac:dyDescent="0.3">
      <c r="A6" s="6" t="s">
        <v>1</v>
      </c>
      <c r="B6" s="6"/>
      <c r="C6" s="14"/>
      <c r="D6" s="14"/>
      <c r="E6" s="14"/>
      <c r="F6" s="14"/>
      <c r="G6" s="14"/>
      <c r="H6" s="14"/>
      <c r="I6" s="14"/>
      <c r="J6" s="14"/>
      <c r="K6" s="14"/>
      <c r="L6" s="14"/>
      <c r="N6" s="18" t="s">
        <v>21</v>
      </c>
    </row>
    <row r="7" spans="1:14" x14ac:dyDescent="0.25">
      <c r="A7" s="1" t="s">
        <v>8</v>
      </c>
      <c r="B7" s="1">
        <v>308</v>
      </c>
      <c r="C7" s="10">
        <v>10000</v>
      </c>
      <c r="D7" s="10">
        <v>12000</v>
      </c>
      <c r="E7" s="10">
        <v>12000</v>
      </c>
      <c r="F7" s="10">
        <v>12000</v>
      </c>
      <c r="G7" s="10">
        <v>0</v>
      </c>
      <c r="H7" s="10">
        <v>0</v>
      </c>
      <c r="I7" s="10"/>
      <c r="J7" s="10"/>
      <c r="K7" s="10"/>
      <c r="L7" s="10"/>
      <c r="N7" s="15">
        <f>IF(K7=0,0,+K7/C7-1)</f>
        <v>0</v>
      </c>
    </row>
    <row r="8" spans="1:14" x14ac:dyDescent="0.25">
      <c r="A8" s="1" t="s">
        <v>9</v>
      </c>
      <c r="B8" s="7">
        <f>320+12*8</f>
        <v>416</v>
      </c>
      <c r="C8" s="10">
        <v>10000</v>
      </c>
      <c r="D8" s="10"/>
      <c r="E8" s="10"/>
      <c r="F8" s="10">
        <v>16000</v>
      </c>
      <c r="G8" s="10">
        <v>18000</v>
      </c>
      <c r="H8" s="10">
        <v>0</v>
      </c>
      <c r="I8" s="10"/>
      <c r="J8" s="10"/>
      <c r="K8" s="10"/>
      <c r="L8" s="10"/>
      <c r="N8" s="15">
        <f t="shared" ref="N8:N23" si="0">IF(K8=0,0,+K8/C8-1)</f>
        <v>0</v>
      </c>
    </row>
    <row r="9" spans="1:14" x14ac:dyDescent="0.25">
      <c r="A9" s="1" t="s">
        <v>17</v>
      </c>
      <c r="B9" s="1">
        <v>320</v>
      </c>
      <c r="C9" s="10">
        <v>10000</v>
      </c>
      <c r="D9" s="10">
        <v>12000</v>
      </c>
      <c r="E9" s="10">
        <v>12500</v>
      </c>
      <c r="F9" s="10">
        <v>13500</v>
      </c>
      <c r="G9" s="10">
        <v>15000</v>
      </c>
      <c r="H9" s="10">
        <v>17000</v>
      </c>
      <c r="I9" s="10">
        <v>18500</v>
      </c>
      <c r="J9" s="10">
        <v>19000</v>
      </c>
      <c r="K9" s="10">
        <v>18500</v>
      </c>
      <c r="L9" s="10">
        <v>17500</v>
      </c>
      <c r="N9" s="15">
        <f t="shared" si="0"/>
        <v>0.85000000000000009</v>
      </c>
    </row>
    <row r="10" spans="1:14" x14ac:dyDescent="0.25">
      <c r="C10" s="10"/>
      <c r="D10" s="10"/>
      <c r="E10" s="10"/>
      <c r="F10" s="10"/>
      <c r="G10" s="10"/>
      <c r="H10" s="10"/>
      <c r="I10" s="10"/>
      <c r="J10" s="10"/>
      <c r="K10" s="10"/>
      <c r="L10" s="10"/>
      <c r="N10" s="15">
        <f t="shared" si="0"/>
        <v>0</v>
      </c>
    </row>
    <row r="11" spans="1:14" x14ac:dyDescent="0.25">
      <c r="A11" s="6" t="s">
        <v>0</v>
      </c>
      <c r="B11" s="6"/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5">
        <f t="shared" si="0"/>
        <v>0</v>
      </c>
    </row>
    <row r="12" spans="1:14" x14ac:dyDescent="0.25">
      <c r="A12" s="1" t="s">
        <v>4</v>
      </c>
      <c r="B12" s="1">
        <v>360</v>
      </c>
      <c r="C12" s="10">
        <v>10000</v>
      </c>
      <c r="D12" s="10">
        <v>14500</v>
      </c>
      <c r="E12" s="10">
        <v>15000</v>
      </c>
      <c r="F12" s="10">
        <v>15000</v>
      </c>
      <c r="G12" s="10">
        <v>17000</v>
      </c>
      <c r="H12" s="10">
        <v>19000</v>
      </c>
      <c r="I12" s="10">
        <v>20000</v>
      </c>
      <c r="J12" s="10">
        <v>21000</v>
      </c>
      <c r="K12" s="10">
        <v>20000</v>
      </c>
      <c r="L12" s="10">
        <v>19000</v>
      </c>
      <c r="N12" s="15">
        <f t="shared" si="0"/>
        <v>1</v>
      </c>
    </row>
    <row r="13" spans="1:14" x14ac:dyDescent="0.25">
      <c r="A13" s="1" t="s">
        <v>14</v>
      </c>
      <c r="B13" s="1">
        <v>295</v>
      </c>
      <c r="C13" s="10">
        <v>10000</v>
      </c>
      <c r="D13" s="10">
        <v>12000</v>
      </c>
      <c r="E13" s="10">
        <f>+E7</f>
        <v>12000</v>
      </c>
      <c r="F13" s="10">
        <v>13000</v>
      </c>
      <c r="G13" s="10">
        <v>14500</v>
      </c>
      <c r="H13" s="10">
        <v>15500</v>
      </c>
      <c r="I13" s="10">
        <v>17000</v>
      </c>
      <c r="J13" s="10">
        <v>18500</v>
      </c>
      <c r="K13" s="10">
        <v>18000</v>
      </c>
      <c r="L13" s="10">
        <v>17000</v>
      </c>
      <c r="N13" s="15">
        <f t="shared" si="0"/>
        <v>0.8</v>
      </c>
    </row>
    <row r="14" spans="1:14" x14ac:dyDescent="0.25">
      <c r="A14" s="1" t="s">
        <v>10</v>
      </c>
      <c r="B14" s="1">
        <v>300</v>
      </c>
      <c r="C14" s="10">
        <v>10000</v>
      </c>
      <c r="D14" s="10">
        <v>11500</v>
      </c>
      <c r="E14" s="10">
        <v>12000</v>
      </c>
      <c r="F14" s="10">
        <v>12000</v>
      </c>
      <c r="G14" s="10">
        <v>13000</v>
      </c>
      <c r="H14" s="10">
        <v>15000</v>
      </c>
      <c r="I14" s="10">
        <v>16500</v>
      </c>
      <c r="J14" s="10"/>
      <c r="K14" s="10"/>
      <c r="L14" s="10"/>
      <c r="N14" s="15">
        <f t="shared" si="0"/>
        <v>0</v>
      </c>
    </row>
    <row r="15" spans="1:14" x14ac:dyDescent="0.25">
      <c r="A15" s="1" t="s">
        <v>11</v>
      </c>
      <c r="B15" s="1">
        <v>300</v>
      </c>
      <c r="C15" s="10">
        <v>10000</v>
      </c>
      <c r="D15" s="10">
        <v>11500</v>
      </c>
      <c r="E15" s="10">
        <f>+E13</f>
        <v>12000</v>
      </c>
      <c r="F15" s="10">
        <v>12500</v>
      </c>
      <c r="G15" s="10">
        <f>+G13</f>
        <v>14500</v>
      </c>
      <c r="H15" s="10">
        <f>+H13</f>
        <v>15500</v>
      </c>
      <c r="I15" s="10">
        <f>+I13</f>
        <v>17000</v>
      </c>
      <c r="J15" s="10">
        <v>18000</v>
      </c>
      <c r="K15" s="10">
        <v>17500</v>
      </c>
      <c r="L15" s="10">
        <v>16500</v>
      </c>
      <c r="N15" s="15">
        <f t="shared" si="0"/>
        <v>0.75</v>
      </c>
    </row>
    <row r="16" spans="1:14" x14ac:dyDescent="0.25">
      <c r="C16" s="10"/>
      <c r="D16" s="10"/>
      <c r="E16" s="9"/>
      <c r="F16" s="9"/>
      <c r="G16" s="9"/>
      <c r="H16" s="9"/>
      <c r="I16" s="9"/>
      <c r="J16" s="9"/>
      <c r="K16" s="9"/>
      <c r="L16" s="9"/>
      <c r="N16" s="15">
        <f t="shared" si="0"/>
        <v>0</v>
      </c>
    </row>
    <row r="17" spans="1:14" x14ac:dyDescent="0.25"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5">
        <f t="shared" si="0"/>
        <v>0</v>
      </c>
    </row>
    <row r="18" spans="1:14" x14ac:dyDescent="0.25">
      <c r="A18" s="6" t="s">
        <v>2</v>
      </c>
      <c r="B18" s="6"/>
      <c r="C18" s="10"/>
      <c r="D18" s="10"/>
      <c r="E18" s="10"/>
      <c r="F18" s="10"/>
      <c r="G18" s="10"/>
      <c r="H18" s="10"/>
      <c r="I18" s="10"/>
      <c r="J18" s="10"/>
      <c r="K18" s="10"/>
      <c r="L18" s="10"/>
      <c r="N18" s="15">
        <f t="shared" si="0"/>
        <v>0</v>
      </c>
    </row>
    <row r="19" spans="1:14" x14ac:dyDescent="0.25">
      <c r="A19" s="1" t="s">
        <v>15</v>
      </c>
      <c r="B19" s="1">
        <v>333</v>
      </c>
      <c r="C19" s="10">
        <v>10000</v>
      </c>
      <c r="D19" s="10">
        <v>12500</v>
      </c>
      <c r="E19" s="10">
        <f>+E9+500</f>
        <v>13000</v>
      </c>
      <c r="F19" s="10">
        <v>14000</v>
      </c>
      <c r="G19" s="10">
        <v>16000</v>
      </c>
      <c r="H19" s="10">
        <v>17000</v>
      </c>
      <c r="I19" s="10">
        <f>+I9</f>
        <v>18500</v>
      </c>
      <c r="J19" s="10"/>
      <c r="K19" s="10"/>
      <c r="L19" s="10"/>
      <c r="N19" s="15">
        <f t="shared" si="0"/>
        <v>0</v>
      </c>
    </row>
    <row r="20" spans="1:14" x14ac:dyDescent="0.25">
      <c r="A20" s="1" t="s">
        <v>12</v>
      </c>
      <c r="B20" s="1">
        <v>300</v>
      </c>
      <c r="C20" s="10">
        <v>10000</v>
      </c>
      <c r="D20" s="10">
        <v>11500</v>
      </c>
      <c r="E20" s="10">
        <v>12000</v>
      </c>
      <c r="F20" s="10">
        <v>12000</v>
      </c>
      <c r="G20" s="10">
        <f t="shared" ref="G20:I21" si="1">+G14</f>
        <v>13000</v>
      </c>
      <c r="H20" s="10">
        <f t="shared" si="1"/>
        <v>15000</v>
      </c>
      <c r="I20" s="10">
        <f t="shared" si="1"/>
        <v>16500</v>
      </c>
      <c r="J20" s="10">
        <v>17000</v>
      </c>
      <c r="K20" s="10">
        <v>17500</v>
      </c>
      <c r="L20" s="10">
        <v>16500</v>
      </c>
      <c r="N20" s="15">
        <f t="shared" si="0"/>
        <v>0.75</v>
      </c>
    </row>
    <row r="21" spans="1:14" x14ac:dyDescent="0.25">
      <c r="A21" s="1" t="s">
        <v>16</v>
      </c>
      <c r="B21" s="1">
        <v>300</v>
      </c>
      <c r="C21" s="10">
        <v>10000</v>
      </c>
      <c r="D21" s="10">
        <v>11500</v>
      </c>
      <c r="E21" s="10">
        <f>+E20</f>
        <v>12000</v>
      </c>
      <c r="F21" s="10">
        <v>12500</v>
      </c>
      <c r="G21" s="10">
        <f t="shared" si="1"/>
        <v>14500</v>
      </c>
      <c r="H21" s="10">
        <f t="shared" si="1"/>
        <v>15500</v>
      </c>
      <c r="I21" s="10">
        <f t="shared" si="1"/>
        <v>17000</v>
      </c>
      <c r="J21" s="10">
        <f>+J13</f>
        <v>18500</v>
      </c>
      <c r="K21" s="10">
        <f>+K13</f>
        <v>18000</v>
      </c>
      <c r="L21" s="10">
        <f>+L13</f>
        <v>17000</v>
      </c>
      <c r="N21" s="15">
        <f t="shared" si="0"/>
        <v>0.8</v>
      </c>
    </row>
    <row r="22" spans="1:14" x14ac:dyDescent="0.25">
      <c r="A22" s="1" t="s">
        <v>18</v>
      </c>
      <c r="B22" s="1">
        <v>306</v>
      </c>
      <c r="C22" s="10">
        <f>+C21</f>
        <v>10000</v>
      </c>
      <c r="D22" s="10">
        <v>11500</v>
      </c>
      <c r="E22" s="10">
        <f>+E21</f>
        <v>12000</v>
      </c>
      <c r="F22" s="10">
        <v>12000</v>
      </c>
      <c r="G22" s="10">
        <v>14000</v>
      </c>
      <c r="H22" s="10">
        <f>+H21</f>
        <v>15500</v>
      </c>
      <c r="I22" s="10">
        <f>+I21</f>
        <v>17000</v>
      </c>
      <c r="J22" s="10">
        <f>+J21</f>
        <v>18500</v>
      </c>
      <c r="K22" s="10">
        <f>+K21</f>
        <v>18000</v>
      </c>
      <c r="L22" s="10">
        <f>+L21</f>
        <v>17000</v>
      </c>
      <c r="N22" s="15">
        <f t="shared" si="0"/>
        <v>0.8</v>
      </c>
    </row>
    <row r="23" spans="1:14" ht="18.75" thickBot="1" x14ac:dyDescent="0.3">
      <c r="A23" s="1" t="s">
        <v>13</v>
      </c>
      <c r="B23" s="1">
        <v>306</v>
      </c>
      <c r="C23" s="11">
        <f>+C22</f>
        <v>10000</v>
      </c>
      <c r="D23" s="11">
        <v>11500</v>
      </c>
      <c r="E23" s="11">
        <f>+E22</f>
        <v>12000</v>
      </c>
      <c r="F23" s="11">
        <v>12500</v>
      </c>
      <c r="G23" s="11">
        <f>+G21</f>
        <v>14500</v>
      </c>
      <c r="H23" s="11">
        <f>+H21</f>
        <v>15500</v>
      </c>
      <c r="I23" s="11">
        <f>+I21</f>
        <v>17000</v>
      </c>
      <c r="J23" s="11">
        <f>+J9</f>
        <v>19000</v>
      </c>
      <c r="K23" s="11">
        <f>+K9</f>
        <v>18500</v>
      </c>
      <c r="L23" s="11">
        <f>+L9</f>
        <v>17500</v>
      </c>
      <c r="N23" s="16">
        <f t="shared" si="0"/>
        <v>0.85000000000000009</v>
      </c>
    </row>
  </sheetData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Vigente</vt:lpstr>
      <vt:lpstr>Evolución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Gerardo Ernesto Fernández</cp:lastModifiedBy>
  <cp:lastPrinted>2026-07-03T19:14:16Z</cp:lastPrinted>
  <dcterms:created xsi:type="dcterms:W3CDTF">2023-03-26T12:03:32Z</dcterms:created>
  <dcterms:modified xsi:type="dcterms:W3CDTF">2026-07-06T23:18:48Z</dcterms:modified>
</cp:coreProperties>
</file>